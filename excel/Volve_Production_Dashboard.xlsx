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719d63ff2bb09c/Data Analyst Work/Equinor_Volve-Field-Production-Analytics-Python-Jupyter/data/"/>
    </mc:Choice>
  </mc:AlternateContent>
  <xr:revisionPtr revIDLastSave="1479" documentId="8_{02E87C6C-9DFA-405E-9813-A1764EBA5CA1}" xr6:coauthVersionLast="47" xr6:coauthVersionMax="47" xr10:uidLastSave="{817E73B4-068B-4E8A-92C7-4CADC37F4E03}"/>
  <bookViews>
    <workbookView xWindow="-98" yWindow="-98" windowWidth="24196" windowHeight="14476" tabRatio="717" xr2:uid="{00000000-000D-0000-FFFF-FFFF00000000}"/>
  </bookViews>
  <sheets>
    <sheet name="Dashboards" sheetId="11" r:id="rId1"/>
    <sheet name="Well Summary" sheetId="9" r:id="rId2"/>
    <sheet name="Clean Monthly Production Data " sheetId="4" r:id="rId3"/>
    <sheet name="Monthly Pivot" sheetId="8" r:id="rId4"/>
    <sheet name="Raw Monthly Production Data" sheetId="1" r:id="rId5"/>
    <sheet name="Roles" sheetId="5" r:id="rId6"/>
  </sheets>
  <definedNames>
    <definedName name="_xlnm._FilterDatabase" localSheetId="2" hidden="1">'Clean Monthly Production Data '!$A$1:$O$527</definedName>
  </definedNames>
  <calcPr calcId="191029"/>
  <pivotCaches>
    <pivotCache cacheId="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9" l="1"/>
  <c r="F3" i="9" s="1"/>
  <c r="B2" i="9"/>
  <c r="F2" i="9" s="1"/>
  <c r="B4" i="9"/>
  <c r="F4" i="9" s="1"/>
  <c r="E3" i="9"/>
  <c r="E4" i="9"/>
  <c r="E5" i="9"/>
  <c r="E6" i="9"/>
  <c r="E7" i="9"/>
  <c r="E8" i="9"/>
  <c r="E2" i="9"/>
  <c r="D3" i="9"/>
  <c r="D4" i="9"/>
  <c r="D5" i="9"/>
  <c r="D6" i="9"/>
  <c r="D7" i="9"/>
  <c r="D8" i="9"/>
  <c r="D2" i="9"/>
  <c r="C3" i="9"/>
  <c r="C4" i="9"/>
  <c r="C5" i="9"/>
  <c r="C6" i="9"/>
  <c r="C7" i="9"/>
  <c r="C8" i="9"/>
  <c r="C2" i="9"/>
  <c r="B5" i="9"/>
  <c r="F5" i="9" s="1"/>
  <c r="B6" i="9"/>
  <c r="F6" i="9" s="1"/>
  <c r="B7" i="9"/>
  <c r="F7" i="9" s="1"/>
  <c r="B8" i="9"/>
  <c r="F8" i="9" s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2" i="4"/>
  <c r="J3" i="4"/>
  <c r="J4" i="4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J26" i="4"/>
  <c r="J27" i="4"/>
  <c r="K27" i="4" s="1"/>
  <c r="J28" i="4"/>
  <c r="K28" i="4" s="1"/>
  <c r="J29" i="4"/>
  <c r="K29" i="4" s="1"/>
  <c r="J30" i="4"/>
  <c r="K30" i="4" s="1"/>
  <c r="J31" i="4"/>
  <c r="K31" i="4" s="1"/>
  <c r="J32" i="4"/>
  <c r="K32" i="4" s="1"/>
  <c r="J33" i="4"/>
  <c r="K33" i="4" s="1"/>
  <c r="J34" i="4"/>
  <c r="K34" i="4" s="1"/>
  <c r="J35" i="4"/>
  <c r="K35" i="4" s="1"/>
  <c r="J36" i="4"/>
  <c r="K36" i="4" s="1"/>
  <c r="J37" i="4"/>
  <c r="J38" i="4"/>
  <c r="K38" i="4" s="1"/>
  <c r="J39" i="4"/>
  <c r="K39" i="4" s="1"/>
  <c r="J40" i="4"/>
  <c r="K40" i="4" s="1"/>
  <c r="J41" i="4"/>
  <c r="K41" i="4" s="1"/>
  <c r="J42" i="4"/>
  <c r="K42" i="4" s="1"/>
  <c r="J43" i="4"/>
  <c r="J44" i="4"/>
  <c r="K44" i="4" s="1"/>
  <c r="J45" i="4"/>
  <c r="K45" i="4" s="1"/>
  <c r="J46" i="4"/>
  <c r="K46" i="4" s="1"/>
  <c r="J47" i="4"/>
  <c r="J48" i="4"/>
  <c r="J49" i="4"/>
  <c r="K49" i="4" s="1"/>
  <c r="J50" i="4"/>
  <c r="K50" i="4" s="1"/>
  <c r="J51" i="4"/>
  <c r="K51" i="4" s="1"/>
  <c r="J52" i="4"/>
  <c r="K52" i="4" s="1"/>
  <c r="J53" i="4"/>
  <c r="K53" i="4" s="1"/>
  <c r="J54" i="4"/>
  <c r="K54" i="4" s="1"/>
  <c r="J55" i="4"/>
  <c r="K55" i="4" s="1"/>
  <c r="J56" i="4"/>
  <c r="K56" i="4" s="1"/>
  <c r="J57" i="4"/>
  <c r="K57" i="4" s="1"/>
  <c r="J58" i="4"/>
  <c r="K58" i="4" s="1"/>
  <c r="J59" i="4"/>
  <c r="K59" i="4" s="1"/>
  <c r="J60" i="4"/>
  <c r="K60" i="4" s="1"/>
  <c r="J61" i="4"/>
  <c r="J62" i="4"/>
  <c r="K62" i="4" s="1"/>
  <c r="J63" i="4"/>
  <c r="K63" i="4" s="1"/>
  <c r="J64" i="4"/>
  <c r="K64" i="4" s="1"/>
  <c r="J65" i="4"/>
  <c r="K65" i="4" s="1"/>
  <c r="J66" i="4"/>
  <c r="K66" i="4" s="1"/>
  <c r="J67" i="4"/>
  <c r="K67" i="4" s="1"/>
  <c r="J68" i="4"/>
  <c r="K68" i="4" s="1"/>
  <c r="J69" i="4"/>
  <c r="J70" i="4"/>
  <c r="J71" i="4"/>
  <c r="J72" i="4"/>
  <c r="K72" i="4" s="1"/>
  <c r="J73" i="4"/>
  <c r="K73" i="4" s="1"/>
  <c r="J74" i="4"/>
  <c r="K74" i="4" s="1"/>
  <c r="J75" i="4"/>
  <c r="K75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J84" i="4"/>
  <c r="K84" i="4" s="1"/>
  <c r="J85" i="4"/>
  <c r="K85" i="4" s="1"/>
  <c r="J86" i="4"/>
  <c r="K86" i="4" s="1"/>
  <c r="J87" i="4"/>
  <c r="K87" i="4" s="1"/>
  <c r="J88" i="4"/>
  <c r="K88" i="4" s="1"/>
  <c r="J89" i="4"/>
  <c r="K89" i="4" s="1"/>
  <c r="J90" i="4"/>
  <c r="K90" i="4" s="1"/>
  <c r="J91" i="4"/>
  <c r="J92" i="4"/>
  <c r="J93" i="4"/>
  <c r="K93" i="4" s="1"/>
  <c r="J94" i="4"/>
  <c r="K94" i="4" s="1"/>
  <c r="J95" i="4"/>
  <c r="K95" i="4" s="1"/>
  <c r="J96" i="4"/>
  <c r="K96" i="4" s="1"/>
  <c r="J97" i="4"/>
  <c r="K97" i="4" s="1"/>
  <c r="J98" i="4"/>
  <c r="K98" i="4" s="1"/>
  <c r="J99" i="4"/>
  <c r="K99" i="4" s="1"/>
  <c r="J100" i="4"/>
  <c r="K100" i="4" s="1"/>
  <c r="J101" i="4"/>
  <c r="K101" i="4" s="1"/>
  <c r="J102" i="4"/>
  <c r="K102" i="4" s="1"/>
  <c r="J103" i="4"/>
  <c r="K103" i="4" s="1"/>
  <c r="J104" i="4"/>
  <c r="K104" i="4" s="1"/>
  <c r="J105" i="4"/>
  <c r="J106" i="4"/>
  <c r="K106" i="4" s="1"/>
  <c r="J107" i="4"/>
  <c r="K107" i="4" s="1"/>
  <c r="J108" i="4"/>
  <c r="K108" i="4" s="1"/>
  <c r="J109" i="4"/>
  <c r="K109" i="4" s="1"/>
  <c r="J110" i="4"/>
  <c r="K110" i="4" s="1"/>
  <c r="J111" i="4"/>
  <c r="K111" i="4" s="1"/>
  <c r="J112" i="4"/>
  <c r="K112" i="4" s="1"/>
  <c r="J113" i="4"/>
  <c r="J114" i="4"/>
  <c r="J115" i="4"/>
  <c r="J116" i="4"/>
  <c r="K116" i="4" s="1"/>
  <c r="J117" i="4"/>
  <c r="K117" i="4" s="1"/>
  <c r="J118" i="4"/>
  <c r="K118" i="4" s="1"/>
  <c r="J119" i="4"/>
  <c r="K119" i="4" s="1"/>
  <c r="J120" i="4"/>
  <c r="K120" i="4" s="1"/>
  <c r="J121" i="4"/>
  <c r="K121" i="4" s="1"/>
  <c r="J122" i="4"/>
  <c r="K122" i="4" s="1"/>
  <c r="J123" i="4"/>
  <c r="K123" i="4" s="1"/>
  <c r="J124" i="4"/>
  <c r="K124" i="4" s="1"/>
  <c r="J125" i="4"/>
  <c r="J126" i="4"/>
  <c r="J127" i="4"/>
  <c r="J128" i="4"/>
  <c r="K128" i="4" s="1"/>
  <c r="J129" i="4"/>
  <c r="K129" i="4" s="1"/>
  <c r="J130" i="4"/>
  <c r="K130" i="4" s="1"/>
  <c r="J131" i="4"/>
  <c r="K131" i="4" s="1"/>
  <c r="J132" i="4"/>
  <c r="K132" i="4" s="1"/>
  <c r="J133" i="4"/>
  <c r="K133" i="4" s="1"/>
  <c r="J134" i="4"/>
  <c r="K134" i="4" s="1"/>
  <c r="J135" i="4"/>
  <c r="J136" i="4"/>
  <c r="J137" i="4"/>
  <c r="J138" i="4"/>
  <c r="K138" i="4" s="1"/>
  <c r="J139" i="4"/>
  <c r="K139" i="4" s="1"/>
  <c r="J140" i="4"/>
  <c r="K140" i="4" s="1"/>
  <c r="J141" i="4"/>
  <c r="K141" i="4" s="1"/>
  <c r="J142" i="4"/>
  <c r="K142" i="4" s="1"/>
  <c r="J143" i="4"/>
  <c r="K143" i="4" s="1"/>
  <c r="J144" i="4"/>
  <c r="K144" i="4" s="1"/>
  <c r="J145" i="4"/>
  <c r="K145" i="4" s="1"/>
  <c r="J146" i="4"/>
  <c r="K146" i="4" s="1"/>
  <c r="J147" i="4"/>
  <c r="K147" i="4" s="1"/>
  <c r="J148" i="4"/>
  <c r="K148" i="4" s="1"/>
  <c r="J149" i="4"/>
  <c r="J150" i="4"/>
  <c r="K150" i="4" s="1"/>
  <c r="J151" i="4"/>
  <c r="K151" i="4" s="1"/>
  <c r="J152" i="4"/>
  <c r="K152" i="4" s="1"/>
  <c r="J153" i="4"/>
  <c r="K153" i="4" s="1"/>
  <c r="J154" i="4"/>
  <c r="K154" i="4" s="1"/>
  <c r="J155" i="4"/>
  <c r="K155" i="4" s="1"/>
  <c r="J156" i="4"/>
  <c r="K156" i="4" s="1"/>
  <c r="J157" i="4"/>
  <c r="J158" i="4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J180" i="4"/>
  <c r="J181" i="4"/>
  <c r="K181" i="4" s="1"/>
  <c r="J182" i="4"/>
  <c r="K182" i="4" s="1"/>
  <c r="J183" i="4"/>
  <c r="K183" i="4" s="1"/>
  <c r="J184" i="4"/>
  <c r="K184" i="4" s="1"/>
  <c r="J185" i="4"/>
  <c r="K185" i="4" s="1"/>
  <c r="J186" i="4"/>
  <c r="K186" i="4" s="1"/>
  <c r="J187" i="4"/>
  <c r="K187" i="4" s="1"/>
  <c r="J188" i="4"/>
  <c r="K188" i="4" s="1"/>
  <c r="J189" i="4"/>
  <c r="K189" i="4" s="1"/>
  <c r="J190" i="4"/>
  <c r="K190" i="4" s="1"/>
  <c r="J191" i="4"/>
  <c r="K191" i="4" s="1"/>
  <c r="J192" i="4"/>
  <c r="K192" i="4" s="1"/>
  <c r="J193" i="4"/>
  <c r="J194" i="4"/>
  <c r="K194" i="4" s="1"/>
  <c r="J195" i="4"/>
  <c r="K195" i="4" s="1"/>
  <c r="J196" i="4"/>
  <c r="K196" i="4" s="1"/>
  <c r="J197" i="4"/>
  <c r="K197" i="4" s="1"/>
  <c r="J198" i="4"/>
  <c r="K198" i="4" s="1"/>
  <c r="J199" i="4"/>
  <c r="K199" i="4" s="1"/>
  <c r="J200" i="4"/>
  <c r="K200" i="4" s="1"/>
  <c r="J201" i="4"/>
  <c r="J202" i="4"/>
  <c r="J203" i="4"/>
  <c r="J204" i="4"/>
  <c r="K204" i="4" s="1"/>
  <c r="J205" i="4"/>
  <c r="K205" i="4" s="1"/>
  <c r="J206" i="4"/>
  <c r="K206" i="4" s="1"/>
  <c r="J207" i="4"/>
  <c r="K207" i="4" s="1"/>
  <c r="J208" i="4"/>
  <c r="K208" i="4" s="1"/>
  <c r="J209" i="4"/>
  <c r="K209" i="4" s="1"/>
  <c r="J210" i="4"/>
  <c r="K210" i="4" s="1"/>
  <c r="J211" i="4"/>
  <c r="K211" i="4" s="1"/>
  <c r="J212" i="4"/>
  <c r="K212" i="4" s="1"/>
  <c r="J213" i="4"/>
  <c r="K213" i="4" s="1"/>
  <c r="J214" i="4"/>
  <c r="K214" i="4" s="1"/>
  <c r="J215" i="4"/>
  <c r="J216" i="4"/>
  <c r="K216" i="4" s="1"/>
  <c r="J217" i="4"/>
  <c r="K217" i="4" s="1"/>
  <c r="J218" i="4"/>
  <c r="J219" i="4"/>
  <c r="J220" i="4"/>
  <c r="J221" i="4"/>
  <c r="K221" i="4" s="1"/>
  <c r="J222" i="4"/>
  <c r="K222" i="4" s="1"/>
  <c r="J223" i="4"/>
  <c r="J224" i="4"/>
  <c r="J225" i="4"/>
  <c r="J226" i="4"/>
  <c r="K226" i="4" s="1"/>
  <c r="J227" i="4"/>
  <c r="K227" i="4" s="1"/>
  <c r="J228" i="4"/>
  <c r="K228" i="4" s="1"/>
  <c r="J229" i="4"/>
  <c r="K229" i="4" s="1"/>
  <c r="J230" i="4"/>
  <c r="K230" i="4" s="1"/>
  <c r="J231" i="4"/>
  <c r="K231" i="4" s="1"/>
  <c r="J232" i="4"/>
  <c r="K232" i="4" s="1"/>
  <c r="J233" i="4"/>
  <c r="K233" i="4" s="1"/>
  <c r="J234" i="4"/>
  <c r="K234" i="4" s="1"/>
  <c r="J235" i="4"/>
  <c r="K235" i="4" s="1"/>
  <c r="J236" i="4"/>
  <c r="K236" i="4" s="1"/>
  <c r="J237" i="4"/>
  <c r="K237" i="4" s="1"/>
  <c r="J238" i="4"/>
  <c r="K238" i="4" s="1"/>
  <c r="J239" i="4"/>
  <c r="K239" i="4" s="1"/>
  <c r="J240" i="4"/>
  <c r="K240" i="4" s="1"/>
  <c r="J241" i="4"/>
  <c r="K241" i="4" s="1"/>
  <c r="J242" i="4"/>
  <c r="K242" i="4" s="1"/>
  <c r="J243" i="4"/>
  <c r="K243" i="4" s="1"/>
  <c r="J244" i="4"/>
  <c r="K244" i="4" s="1"/>
  <c r="J245" i="4"/>
  <c r="J246" i="4"/>
  <c r="J247" i="4"/>
  <c r="J248" i="4"/>
  <c r="K248" i="4" s="1"/>
  <c r="J249" i="4"/>
  <c r="K249" i="4" s="1"/>
  <c r="J250" i="4"/>
  <c r="K250" i="4" s="1"/>
  <c r="J251" i="4"/>
  <c r="K251" i="4" s="1"/>
  <c r="J252" i="4"/>
  <c r="K252" i="4" s="1"/>
  <c r="J253" i="4"/>
  <c r="K253" i="4" s="1"/>
  <c r="J254" i="4"/>
  <c r="K254" i="4" s="1"/>
  <c r="J255" i="4"/>
  <c r="K255" i="4" s="1"/>
  <c r="J256" i="4"/>
  <c r="K256" i="4" s="1"/>
  <c r="J257" i="4"/>
  <c r="K257" i="4" s="1"/>
  <c r="J258" i="4"/>
  <c r="K258" i="4" s="1"/>
  <c r="J259" i="4"/>
  <c r="J260" i="4"/>
  <c r="K260" i="4" s="1"/>
  <c r="J261" i="4"/>
  <c r="K261" i="4" s="1"/>
  <c r="J262" i="4"/>
  <c r="K262" i="4" s="1"/>
  <c r="J263" i="4"/>
  <c r="K263" i="4" s="1"/>
  <c r="J264" i="4"/>
  <c r="K264" i="4" s="1"/>
  <c r="J265" i="4"/>
  <c r="K265" i="4" s="1"/>
  <c r="J266" i="4"/>
  <c r="K266" i="4" s="1"/>
  <c r="J267" i="4"/>
  <c r="J268" i="4"/>
  <c r="J269" i="4"/>
  <c r="J270" i="4"/>
  <c r="K270" i="4" s="1"/>
  <c r="J271" i="4"/>
  <c r="K271" i="4" s="1"/>
  <c r="J272" i="4"/>
  <c r="K272" i="4" s="1"/>
  <c r="J273" i="4"/>
  <c r="K273" i="4" s="1"/>
  <c r="J274" i="4"/>
  <c r="K274" i="4" s="1"/>
  <c r="J275" i="4"/>
  <c r="K275" i="4" s="1"/>
  <c r="J276" i="4"/>
  <c r="K276" i="4" s="1"/>
  <c r="J277" i="4"/>
  <c r="K277" i="4" s="1"/>
  <c r="J278" i="4"/>
  <c r="K278" i="4" s="1"/>
  <c r="J279" i="4"/>
  <c r="K279" i="4" s="1"/>
  <c r="J280" i="4"/>
  <c r="K280" i="4" s="1"/>
  <c r="J281" i="4"/>
  <c r="J282" i="4"/>
  <c r="J283" i="4"/>
  <c r="J284" i="4"/>
  <c r="J285" i="4"/>
  <c r="K285" i="4" s="1"/>
  <c r="J286" i="4"/>
  <c r="K286" i="4" s="1"/>
  <c r="J287" i="4"/>
  <c r="K287" i="4" s="1"/>
  <c r="J288" i="4"/>
  <c r="K288" i="4" s="1"/>
  <c r="J289" i="4"/>
  <c r="J290" i="4"/>
  <c r="J291" i="4"/>
  <c r="J292" i="4"/>
  <c r="K292" i="4" s="1"/>
  <c r="J293" i="4"/>
  <c r="K293" i="4" s="1"/>
  <c r="J294" i="4"/>
  <c r="K294" i="4" s="1"/>
  <c r="J295" i="4"/>
  <c r="K295" i="4" s="1"/>
  <c r="J296" i="4"/>
  <c r="K296" i="4" s="1"/>
  <c r="J297" i="4"/>
  <c r="K297" i="4" s="1"/>
  <c r="J298" i="4"/>
  <c r="K298" i="4" s="1"/>
  <c r="J299" i="4"/>
  <c r="K299" i="4" s="1"/>
  <c r="J300" i="4"/>
  <c r="K300" i="4" s="1"/>
  <c r="J301" i="4"/>
  <c r="K301" i="4" s="1"/>
  <c r="J302" i="4"/>
  <c r="K302" i="4" s="1"/>
  <c r="J303" i="4"/>
  <c r="J304" i="4"/>
  <c r="K304" i="4" s="1"/>
  <c r="J305" i="4"/>
  <c r="K305" i="4" s="1"/>
  <c r="J306" i="4"/>
  <c r="K306" i="4" s="1"/>
  <c r="J307" i="4"/>
  <c r="K307" i="4" s="1"/>
  <c r="J308" i="4"/>
  <c r="K308" i="4" s="1"/>
  <c r="J309" i="4"/>
  <c r="K309" i="4" s="1"/>
  <c r="J310" i="4"/>
  <c r="K310" i="4" s="1"/>
  <c r="J311" i="4"/>
  <c r="J312" i="4"/>
  <c r="J313" i="4"/>
  <c r="K313" i="4" s="1"/>
  <c r="J314" i="4"/>
  <c r="K314" i="4" s="1"/>
  <c r="J315" i="4"/>
  <c r="K315" i="4" s="1"/>
  <c r="J316" i="4"/>
  <c r="K316" i="4" s="1"/>
  <c r="J317" i="4"/>
  <c r="K317" i="4" s="1"/>
  <c r="J318" i="4"/>
  <c r="K318" i="4" s="1"/>
  <c r="J319" i="4"/>
  <c r="K319" i="4" s="1"/>
  <c r="J320" i="4"/>
  <c r="K320" i="4" s="1"/>
  <c r="J321" i="4"/>
  <c r="K321" i="4" s="1"/>
  <c r="J322" i="4"/>
  <c r="K322" i="4" s="1"/>
  <c r="J323" i="4"/>
  <c r="K323" i="4" s="1"/>
  <c r="J324" i="4"/>
  <c r="K324" i="4" s="1"/>
  <c r="J325" i="4"/>
  <c r="K325" i="4" s="1"/>
  <c r="J326" i="4"/>
  <c r="K326" i="4" s="1"/>
  <c r="J327" i="4"/>
  <c r="K327" i="4" s="1"/>
  <c r="J328" i="4"/>
  <c r="K328" i="4" s="1"/>
  <c r="J329" i="4"/>
  <c r="K329" i="4" s="1"/>
  <c r="J330" i="4"/>
  <c r="K330" i="4" s="1"/>
  <c r="J331" i="4"/>
  <c r="K331" i="4" s="1"/>
  <c r="J332" i="4"/>
  <c r="K332" i="4" s="1"/>
  <c r="J333" i="4"/>
  <c r="J334" i="4"/>
  <c r="J335" i="4"/>
  <c r="K335" i="4" s="1"/>
  <c r="J336" i="4"/>
  <c r="K336" i="4" s="1"/>
  <c r="J337" i="4"/>
  <c r="K337" i="4" s="1"/>
  <c r="J338" i="4"/>
  <c r="K338" i="4" s="1"/>
  <c r="J339" i="4"/>
  <c r="K339" i="4" s="1"/>
  <c r="J340" i="4"/>
  <c r="K340" i="4" s="1"/>
  <c r="J341" i="4"/>
  <c r="K341" i="4" s="1"/>
  <c r="J342" i="4"/>
  <c r="K342" i="4" s="1"/>
  <c r="J343" i="4"/>
  <c r="K343" i="4" s="1"/>
  <c r="J344" i="4"/>
  <c r="K344" i="4" s="1"/>
  <c r="J345" i="4"/>
  <c r="K345" i="4" s="1"/>
  <c r="J346" i="4"/>
  <c r="K346" i="4" s="1"/>
  <c r="J347" i="4"/>
  <c r="K347" i="4" s="1"/>
  <c r="J348" i="4"/>
  <c r="K348" i="4" s="1"/>
  <c r="J349" i="4"/>
  <c r="K349" i="4" s="1"/>
  <c r="J350" i="4"/>
  <c r="J351" i="4"/>
  <c r="K351" i="4" s="1"/>
  <c r="J352" i="4"/>
  <c r="K352" i="4" s="1"/>
  <c r="J353" i="4"/>
  <c r="K353" i="4" s="1"/>
  <c r="J354" i="4"/>
  <c r="K354" i="4" s="1"/>
  <c r="J355" i="4"/>
  <c r="J356" i="4"/>
  <c r="J357" i="4"/>
  <c r="K357" i="4" s="1"/>
  <c r="J358" i="4"/>
  <c r="K358" i="4" s="1"/>
  <c r="J359" i="4"/>
  <c r="K359" i="4" s="1"/>
  <c r="J360" i="4"/>
  <c r="K360" i="4" s="1"/>
  <c r="J361" i="4"/>
  <c r="K361" i="4" s="1"/>
  <c r="J362" i="4"/>
  <c r="K362" i="4" s="1"/>
  <c r="J363" i="4"/>
  <c r="K363" i="4" s="1"/>
  <c r="J364" i="4"/>
  <c r="K364" i="4" s="1"/>
  <c r="J365" i="4"/>
  <c r="K365" i="4" s="1"/>
  <c r="J366" i="4"/>
  <c r="K366" i="4" s="1"/>
  <c r="J367" i="4"/>
  <c r="K367" i="4" s="1"/>
  <c r="J368" i="4"/>
  <c r="K368" i="4" s="1"/>
  <c r="J369" i="4"/>
  <c r="J370" i="4"/>
  <c r="K370" i="4" s="1"/>
  <c r="J371" i="4"/>
  <c r="K371" i="4" s="1"/>
  <c r="J372" i="4"/>
  <c r="J373" i="4"/>
  <c r="J374" i="4"/>
  <c r="J375" i="4"/>
  <c r="K375" i="4" s="1"/>
  <c r="J376" i="4"/>
  <c r="K376" i="4" s="1"/>
  <c r="J377" i="4"/>
  <c r="J378" i="4"/>
  <c r="J379" i="4"/>
  <c r="K379" i="4" s="1"/>
  <c r="J380" i="4"/>
  <c r="K380" i="4" s="1"/>
  <c r="J381" i="4"/>
  <c r="K381" i="4" s="1"/>
  <c r="J382" i="4"/>
  <c r="K382" i="4" s="1"/>
  <c r="J383" i="4"/>
  <c r="K383" i="4" s="1"/>
  <c r="J384" i="4"/>
  <c r="K384" i="4" s="1"/>
  <c r="J385" i="4"/>
  <c r="K385" i="4" s="1"/>
  <c r="J386" i="4"/>
  <c r="K386" i="4" s="1"/>
  <c r="J387" i="4"/>
  <c r="K387" i="4" s="1"/>
  <c r="J388" i="4"/>
  <c r="K388" i="4" s="1"/>
  <c r="J389" i="4"/>
  <c r="K389" i="4" s="1"/>
  <c r="J390" i="4"/>
  <c r="K390" i="4" s="1"/>
  <c r="J391" i="4"/>
  <c r="J392" i="4"/>
  <c r="K392" i="4" s="1"/>
  <c r="J393" i="4"/>
  <c r="K393" i="4" s="1"/>
  <c r="J394" i="4"/>
  <c r="K394" i="4" s="1"/>
  <c r="J395" i="4"/>
  <c r="K395" i="4" s="1"/>
  <c r="J396" i="4"/>
  <c r="K396" i="4" s="1"/>
  <c r="J397" i="4"/>
  <c r="K397" i="4" s="1"/>
  <c r="J398" i="4"/>
  <c r="K398" i="4" s="1"/>
  <c r="J399" i="4"/>
  <c r="J400" i="4"/>
  <c r="J401" i="4"/>
  <c r="K401" i="4" s="1"/>
  <c r="J402" i="4"/>
  <c r="K402" i="4" s="1"/>
  <c r="J403" i="4"/>
  <c r="K403" i="4" s="1"/>
  <c r="J404" i="4"/>
  <c r="K404" i="4" s="1"/>
  <c r="J405" i="4"/>
  <c r="K405" i="4" s="1"/>
  <c r="J406" i="4"/>
  <c r="K406" i="4" s="1"/>
  <c r="J407" i="4"/>
  <c r="K407" i="4" s="1"/>
  <c r="J408" i="4"/>
  <c r="K408" i="4" s="1"/>
  <c r="J409" i="4"/>
  <c r="K409" i="4" s="1"/>
  <c r="J410" i="4"/>
  <c r="K410" i="4" s="1"/>
  <c r="J411" i="4"/>
  <c r="K411" i="4" s="1"/>
  <c r="J412" i="4"/>
  <c r="K412" i="4" s="1"/>
  <c r="J413" i="4"/>
  <c r="K413" i="4" s="1"/>
  <c r="J414" i="4"/>
  <c r="K414" i="4" s="1"/>
  <c r="J415" i="4"/>
  <c r="K415" i="4" s="1"/>
  <c r="J416" i="4"/>
  <c r="K416" i="4" s="1"/>
  <c r="J417" i="4"/>
  <c r="K417" i="4" s="1"/>
  <c r="J418" i="4"/>
  <c r="K418" i="4" s="1"/>
  <c r="J419" i="4"/>
  <c r="K419" i="4" s="1"/>
  <c r="J420" i="4"/>
  <c r="K420" i="4" s="1"/>
  <c r="J421" i="4"/>
  <c r="J422" i="4"/>
  <c r="J423" i="4"/>
  <c r="K423" i="4" s="1"/>
  <c r="J424" i="4"/>
  <c r="K424" i="4" s="1"/>
  <c r="J425" i="4"/>
  <c r="K425" i="4" s="1"/>
  <c r="J426" i="4"/>
  <c r="K426" i="4" s="1"/>
  <c r="J427" i="4"/>
  <c r="K427" i="4" s="1"/>
  <c r="J428" i="4"/>
  <c r="K428" i="4" s="1"/>
  <c r="J429" i="4"/>
  <c r="K429" i="4" s="1"/>
  <c r="J430" i="4"/>
  <c r="K430" i="4" s="1"/>
  <c r="J431" i="4"/>
  <c r="K431" i="4" s="1"/>
  <c r="J432" i="4"/>
  <c r="K432" i="4" s="1"/>
  <c r="J433" i="4"/>
  <c r="J434" i="4"/>
  <c r="K434" i="4" s="1"/>
  <c r="J435" i="4"/>
  <c r="J436" i="4"/>
  <c r="K436" i="4" s="1"/>
  <c r="J437" i="4"/>
  <c r="K437" i="4" s="1"/>
  <c r="J438" i="4"/>
  <c r="K438" i="4" s="1"/>
  <c r="J439" i="4"/>
  <c r="K439" i="4" s="1"/>
  <c r="J440" i="4"/>
  <c r="K440" i="4" s="1"/>
  <c r="J441" i="4"/>
  <c r="K441" i="4" s="1"/>
  <c r="J442" i="4"/>
  <c r="K442" i="4" s="1"/>
  <c r="J443" i="4"/>
  <c r="J444" i="4"/>
  <c r="J445" i="4"/>
  <c r="K445" i="4" s="1"/>
  <c r="J446" i="4"/>
  <c r="K446" i="4" s="1"/>
  <c r="J447" i="4"/>
  <c r="K447" i="4" s="1"/>
  <c r="J448" i="4"/>
  <c r="K448" i="4" s="1"/>
  <c r="J449" i="4"/>
  <c r="K449" i="4" s="1"/>
  <c r="J450" i="4"/>
  <c r="K450" i="4" s="1"/>
  <c r="J451" i="4"/>
  <c r="K451" i="4" s="1"/>
  <c r="J452" i="4"/>
  <c r="K452" i="4" s="1"/>
  <c r="J453" i="4"/>
  <c r="K453" i="4" s="1"/>
  <c r="J454" i="4"/>
  <c r="K454" i="4" s="1"/>
  <c r="J455" i="4"/>
  <c r="K455" i="4" s="1"/>
  <c r="J456" i="4"/>
  <c r="K456" i="4" s="1"/>
  <c r="J457" i="4"/>
  <c r="J458" i="4"/>
  <c r="K458" i="4" s="1"/>
  <c r="J459" i="4"/>
  <c r="K459" i="4" s="1"/>
  <c r="J460" i="4"/>
  <c r="K460" i="4" s="1"/>
  <c r="J461" i="4"/>
  <c r="K461" i="4" s="1"/>
  <c r="J462" i="4"/>
  <c r="K462" i="4" s="1"/>
  <c r="J463" i="4"/>
  <c r="K463" i="4" s="1"/>
  <c r="J464" i="4"/>
  <c r="K464" i="4" s="1"/>
  <c r="J465" i="4"/>
  <c r="J466" i="4"/>
  <c r="J467" i="4"/>
  <c r="K467" i="4" s="1"/>
  <c r="J468" i="4"/>
  <c r="K468" i="4" s="1"/>
  <c r="J469" i="4"/>
  <c r="K469" i="4" s="1"/>
  <c r="J470" i="4"/>
  <c r="K470" i="4" s="1"/>
  <c r="J471" i="4"/>
  <c r="K471" i="4" s="1"/>
  <c r="J472" i="4"/>
  <c r="K472" i="4" s="1"/>
  <c r="J473" i="4"/>
  <c r="K473" i="4" s="1"/>
  <c r="J474" i="4"/>
  <c r="K474" i="4" s="1"/>
  <c r="J475" i="4"/>
  <c r="K475" i="4" s="1"/>
  <c r="J476" i="4"/>
  <c r="K476" i="4" s="1"/>
  <c r="J477" i="4"/>
  <c r="K477" i="4" s="1"/>
  <c r="J478" i="4"/>
  <c r="K478" i="4" s="1"/>
  <c r="J479" i="4"/>
  <c r="J480" i="4"/>
  <c r="K480" i="4" s="1"/>
  <c r="J481" i="4"/>
  <c r="K481" i="4" s="1"/>
  <c r="J482" i="4"/>
  <c r="J483" i="4"/>
  <c r="K483" i="4" s="1"/>
  <c r="J484" i="4"/>
  <c r="K484" i="4" s="1"/>
  <c r="J485" i="4"/>
  <c r="K485" i="4" s="1"/>
  <c r="J486" i="4"/>
  <c r="K486" i="4" s="1"/>
  <c r="J487" i="4"/>
  <c r="J488" i="4"/>
  <c r="J489" i="4"/>
  <c r="K489" i="4" s="1"/>
  <c r="J490" i="4"/>
  <c r="K490" i="4" s="1"/>
  <c r="J491" i="4"/>
  <c r="K491" i="4" s="1"/>
  <c r="J492" i="4"/>
  <c r="K492" i="4" s="1"/>
  <c r="J493" i="4"/>
  <c r="K493" i="4" s="1"/>
  <c r="J494" i="4"/>
  <c r="K494" i="4" s="1"/>
  <c r="J495" i="4"/>
  <c r="K495" i="4" s="1"/>
  <c r="J496" i="4"/>
  <c r="K496" i="4" s="1"/>
  <c r="J497" i="4"/>
  <c r="K497" i="4" s="1"/>
  <c r="J498" i="4"/>
  <c r="J499" i="4"/>
  <c r="K499" i="4" s="1"/>
  <c r="J500" i="4"/>
  <c r="K500" i="4" s="1"/>
  <c r="J501" i="4"/>
  <c r="K501" i="4" s="1"/>
  <c r="J502" i="4"/>
  <c r="K502" i="4" s="1"/>
  <c r="J503" i="4"/>
  <c r="K503" i="4" s="1"/>
  <c r="J504" i="4"/>
  <c r="K504" i="4" s="1"/>
  <c r="J505" i="4"/>
  <c r="K505" i="4" s="1"/>
  <c r="J506" i="4"/>
  <c r="K506" i="4" s="1"/>
  <c r="J507" i="4"/>
  <c r="K507" i="4" s="1"/>
  <c r="J508" i="4"/>
  <c r="K508" i="4" s="1"/>
  <c r="J509" i="4"/>
  <c r="J510" i="4"/>
  <c r="J511" i="4"/>
  <c r="K511" i="4" s="1"/>
  <c r="J512" i="4"/>
  <c r="K512" i="4" s="1"/>
  <c r="J513" i="4"/>
  <c r="K513" i="4" s="1"/>
  <c r="J514" i="4"/>
  <c r="K514" i="4" s="1"/>
  <c r="J515" i="4"/>
  <c r="K515" i="4" s="1"/>
  <c r="J516" i="4"/>
  <c r="K516" i="4" s="1"/>
  <c r="J517" i="4"/>
  <c r="K517" i="4" s="1"/>
  <c r="J518" i="4"/>
  <c r="K518" i="4" s="1"/>
  <c r="J519" i="4"/>
  <c r="K519" i="4" s="1"/>
  <c r="J520" i="4"/>
  <c r="K520" i="4" s="1"/>
  <c r="J521" i="4"/>
  <c r="K521" i="4" s="1"/>
  <c r="J522" i="4"/>
  <c r="K522" i="4" s="1"/>
  <c r="J523" i="4"/>
  <c r="J524" i="4"/>
  <c r="K524" i="4" s="1"/>
  <c r="J525" i="4"/>
  <c r="K525" i="4" s="1"/>
  <c r="J526" i="4"/>
  <c r="J527" i="4"/>
  <c r="K527" i="4" s="1"/>
  <c r="J2" i="4"/>
  <c r="K2" i="4" s="1"/>
  <c r="K3" i="4"/>
  <c r="K4" i="4"/>
  <c r="K25" i="4"/>
  <c r="K26" i="4"/>
  <c r="K37" i="4"/>
  <c r="K43" i="4"/>
  <c r="K47" i="4"/>
  <c r="K48" i="4"/>
  <c r="K61" i="4"/>
  <c r="K69" i="4"/>
  <c r="K70" i="4"/>
  <c r="K71" i="4"/>
  <c r="K83" i="4"/>
  <c r="K91" i="4"/>
  <c r="K92" i="4"/>
  <c r="K105" i="4"/>
  <c r="K113" i="4"/>
  <c r="K114" i="4"/>
  <c r="K115" i="4"/>
  <c r="K125" i="4"/>
  <c r="K126" i="4"/>
  <c r="K127" i="4"/>
  <c r="K135" i="4"/>
  <c r="K136" i="4"/>
  <c r="K137" i="4"/>
  <c r="K149" i="4"/>
  <c r="K157" i="4"/>
  <c r="K158" i="4"/>
  <c r="K171" i="4"/>
  <c r="K179" i="4"/>
  <c r="K180" i="4"/>
  <c r="K193" i="4"/>
  <c r="K201" i="4"/>
  <c r="K202" i="4"/>
  <c r="K203" i="4"/>
  <c r="K215" i="4"/>
  <c r="K218" i="4"/>
  <c r="K219" i="4"/>
  <c r="K220" i="4"/>
  <c r="K223" i="4"/>
  <c r="K224" i="4"/>
  <c r="K225" i="4"/>
  <c r="K245" i="4"/>
  <c r="K246" i="4"/>
  <c r="K247" i="4"/>
  <c r="K259" i="4"/>
  <c r="K267" i="4"/>
  <c r="K268" i="4"/>
  <c r="K269" i="4"/>
  <c r="K281" i="4"/>
  <c r="K282" i="4"/>
  <c r="K283" i="4"/>
  <c r="K284" i="4"/>
  <c r="K289" i="4"/>
  <c r="K290" i="4"/>
  <c r="K291" i="4"/>
  <c r="K303" i="4"/>
  <c r="K311" i="4"/>
  <c r="K312" i="4"/>
  <c r="K333" i="4"/>
  <c r="K334" i="4"/>
  <c r="K350" i="4"/>
  <c r="K355" i="4"/>
  <c r="K356" i="4"/>
  <c r="K369" i="4"/>
  <c r="K372" i="4"/>
  <c r="K373" i="4"/>
  <c r="K374" i="4"/>
  <c r="K377" i="4"/>
  <c r="K378" i="4"/>
  <c r="K391" i="4"/>
  <c r="K399" i="4"/>
  <c r="K400" i="4"/>
  <c r="K421" i="4"/>
  <c r="K422" i="4"/>
  <c r="K433" i="4"/>
  <c r="K435" i="4"/>
  <c r="K443" i="4"/>
  <c r="K444" i="4"/>
  <c r="K457" i="4"/>
  <c r="K465" i="4"/>
  <c r="K466" i="4"/>
  <c r="K479" i="4"/>
  <c r="K482" i="4"/>
  <c r="K487" i="4"/>
  <c r="K488" i="4"/>
  <c r="K498" i="4"/>
  <c r="K509" i="4"/>
  <c r="K510" i="4"/>
  <c r="K523" i="4"/>
  <c r="K526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2" i="4"/>
</calcChain>
</file>

<file path=xl/sharedStrings.xml><?xml version="1.0" encoding="utf-8"?>
<sst xmlns="http://schemas.openxmlformats.org/spreadsheetml/2006/main" count="3012" uniqueCount="76">
  <si>
    <t>NULL</t>
  </si>
  <si>
    <t>15/9-F-1 C</t>
  </si>
  <si>
    <t>15/9-F-11</t>
  </si>
  <si>
    <t>15/9-F-12</t>
  </si>
  <si>
    <t>15/9-F-14</t>
  </si>
  <si>
    <t>15/9-F-15 D</t>
  </si>
  <si>
    <t>15/9-F-4</t>
  </si>
  <si>
    <t>15/9-F-5</t>
  </si>
  <si>
    <t>Wellbore name</t>
  </si>
  <si>
    <t>NPDCode</t>
  </si>
  <si>
    <t>Year</t>
  </si>
  <si>
    <t>Month</t>
  </si>
  <si>
    <t>On Stream</t>
  </si>
  <si>
    <t>hrs</t>
  </si>
  <si>
    <t>Sm3</t>
  </si>
  <si>
    <t>Oil</t>
  </si>
  <si>
    <t>Gas</t>
  </si>
  <si>
    <t>Water</t>
  </si>
  <si>
    <t>GI</t>
  </si>
  <si>
    <t>WI</t>
  </si>
  <si>
    <t>Role</t>
  </si>
  <si>
    <t>Producer</t>
  </si>
  <si>
    <t>Injector</t>
  </si>
  <si>
    <t>15/9-F-11 H</t>
  </si>
  <si>
    <t>15/9-F-12 H</t>
  </si>
  <si>
    <t>15/9-F-14 H</t>
  </si>
  <si>
    <t>15/9-F-4 AH</t>
  </si>
  <si>
    <t>15/9-F-5 AH</t>
  </si>
  <si>
    <t>Row Labels</t>
  </si>
  <si>
    <t>Grand Total</t>
  </si>
  <si>
    <t>Oil (Sm3)</t>
  </si>
  <si>
    <t>Gas (Sm3)</t>
  </si>
  <si>
    <t>Water (Sm3)</t>
  </si>
  <si>
    <t>GI (Sm3)</t>
  </si>
  <si>
    <t>WI (Sm3)</t>
  </si>
  <si>
    <t>On Stream (hrs)</t>
  </si>
  <si>
    <t>Sum of Oil (Sm3)</t>
  </si>
  <si>
    <t>Date</t>
  </si>
  <si>
    <t>Column Labels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</si>
  <si>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</si>
  <si>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</si>
  <si>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</si>
  <si>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</si>
  <si>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</si>
  <si>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</si>
  <si>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</si>
  <si>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</si>
  <si>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</si>
  <si>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</si>
  <si>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</si>
  <si>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</si>
  <si>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</si>
  <si>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</si>
  <si>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</si>
  <si>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</si>
  <si>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</si>
  <si>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</si>
  <si>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</si>
  <si>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</si>
  <si>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Well Role</t>
  </si>
  <si>
    <t>Sept</t>
  </si>
  <si>
    <t>Calc. Oil Rate (Sm3/day)</t>
  </si>
  <si>
    <t>Oil Rate (Sm3/d)</t>
  </si>
  <si>
    <t>Average of Oil Rate (Sm3/d)</t>
  </si>
  <si>
    <t>Water Cut</t>
  </si>
  <si>
    <t>Average of Water Cut</t>
  </si>
  <si>
    <t>NPD Code</t>
  </si>
  <si>
    <t>On-Stream Eff</t>
  </si>
  <si>
    <t>Well</t>
  </si>
  <si>
    <t>Total Oil</t>
  </si>
  <si>
    <t>Peak Oil Rate</t>
  </si>
  <si>
    <t>Peak Water Cut</t>
  </si>
  <si>
    <t>Avg On-Stream Eff</t>
  </si>
  <si>
    <t>Volve Field Production Analysis (2008 - 2016)</t>
  </si>
  <si>
    <t>Equinor open dataset · Hugin Formation · water-injection waterflood</t>
  </si>
  <si>
    <t>Summary:  Total Oil: 10.0M Sm³ · Peak Rate: ~9,000 Sm³/d · Field Life: 2008 - 2016 · Peak Water Cut: 97%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</si>
</sst>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yyyy\-mm"/>
    <numFmt numFmtId="167" formatCode="0.0%"/>
  </numFmts>
  <fonts count="9" x14ac:knownFonts="1">
    <font>
      <sz val="10"/>
      <color theme="1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6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2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27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 indent="1"/>
    </xf>
    <xf numFmtId="166" fontId="0" fillId="0" borderId="0" xfId="0" applyNumberFormat="1"/>
    <xf numFmtId="2" fontId="0" fillId="0" borderId="0" xfId="0" applyNumberFormat="1"/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9" fontId="0" fillId="0" borderId="0" xfId="2" applyFont="1"/>
    <xf numFmtId="167" fontId="0" fillId="0" borderId="0" xfId="0" applyNumberFormat="1"/>
    <xf numFmtId="10" fontId="0" fillId="0" borderId="0" xfId="0" applyNumberFormat="1"/>
    <xf numFmtId="0" fontId="6" fillId="0" borderId="0" xfId="0" applyFont="1" applyAlignment="1">
      <alignment horizontal="center" vertical="center"/>
    </xf>
    <xf numFmtId="43" fontId="6" fillId="0" borderId="0" xfId="1" applyFont="1" applyAlignment="1">
      <alignment horizontal="center" vertical="center"/>
    </xf>
    <xf numFmtId="9" fontId="6" fillId="0" borderId="0" xfId="2" applyFont="1" applyAlignment="1">
      <alignment horizontal="center" vertical="center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2" fontId="6" fillId="0" borderId="0" xfId="0" applyNumberFormat="1" applyFont="1" applyAlignment="1">
      <alignment horizontal="center" vertical="center"/>
    </xf>
    <xf numFmtId="0" fontId="3" fillId="0" borderId="0" xfId="0" applyFon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6" borderId="0" xfId="0" applyFont="1" applyFill="1" applyAlignment="1">
      <alignment horizontal="left"/>
    </xf>
    <xf numFmtId="0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8"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[Volve_Production_Dashboard.xlsx]Monthly Pivot!PivotTable4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44546A"/>
                </a:solidFill>
              </a:rPr>
              <a:t>Cumulative Oil Production by Well - Volve Field</a:t>
            </a:r>
          </a:p>
        </c:rich>
      </c:tx>
      <c:layout>
        <c:manualLayout>
          <c:xMode val="edge"/>
          <c:yMode val="edge"/>
          <c:x val="0.21676141956718106"/>
          <c:y val="5.44404241244719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13991543116961"/>
          <c:y val="0.13804511267250952"/>
          <c:w val="0.81652437216398999"/>
          <c:h val="0.727081213582128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Pivot'!$B$2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Pivot'!$A$3:$A$10</c:f>
              <c:strCache>
                <c:ptCount val="7"/>
                <c:pt idx="0">
                  <c:v>15/9-F-12</c:v>
                </c:pt>
                <c:pt idx="1">
                  <c:v>15/9-F-14</c:v>
                </c:pt>
                <c:pt idx="2">
                  <c:v>15/9-F-11</c:v>
                </c:pt>
                <c:pt idx="3">
                  <c:v>15/9-F-1 C</c:v>
                </c:pt>
                <c:pt idx="4">
                  <c:v>15/9-F-15 D</c:v>
                </c:pt>
                <c:pt idx="5">
                  <c:v>15/9-F-5</c:v>
                </c:pt>
                <c:pt idx="6">
                  <c:v>15/9-F-4</c:v>
                </c:pt>
              </c:strCache>
            </c:strRef>
          </c:cat>
          <c:val>
            <c:numRef>
              <c:f>'Monthly Pivot'!$B$3:$B$10</c:f>
              <c:numCache>
                <c:formatCode>#,##0</c:formatCode>
                <c:ptCount val="7"/>
                <c:pt idx="0">
                  <c:v>4579609.549999998</c:v>
                </c:pt>
                <c:pt idx="1">
                  <c:v>3942233.39</c:v>
                </c:pt>
                <c:pt idx="2">
                  <c:v>1147849.0999999999</c:v>
                </c:pt>
                <c:pt idx="3">
                  <c:v>177709.32999999996</c:v>
                </c:pt>
                <c:pt idx="4">
                  <c:v>148518.56</c:v>
                </c:pt>
                <c:pt idx="5">
                  <c:v>41160.68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6-4272-86C7-19F2082BA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4"/>
        <c:overlap val="-27"/>
        <c:axId val="828953008"/>
        <c:axId val="828952528"/>
      </c:barChart>
      <c:catAx>
        <c:axId val="82895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952528"/>
        <c:crosses val="autoZero"/>
        <c:auto val="1"/>
        <c:lblAlgn val="ctr"/>
        <c:lblOffset val="100"/>
        <c:noMultiLvlLbl val="0"/>
      </c:catAx>
      <c:valAx>
        <c:axId val="82895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95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[Volve_Production_Dashboard.xlsx]Monthly Pivot!PivotTable6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Oil Production per</a:t>
            </a:r>
            <a:r>
              <a:rPr lang="en-US" b="1" baseline="0"/>
              <a:t> Well- Volve Field</a:t>
            </a:r>
            <a:endParaRPr lang="en-US" b="1"/>
          </a:p>
        </c:rich>
      </c:tx>
      <c:layout>
        <c:manualLayout>
          <c:xMode val="edge"/>
          <c:yMode val="edge"/>
          <c:x val="0.19262358525191439"/>
          <c:y val="8.13743736578382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44096657612504"/>
          <c:y val="0.15589043042069431"/>
          <c:w val="0.84604119261315025"/>
          <c:h val="0.55289447944614145"/>
        </c:manualLayout>
      </c:layout>
      <c:lineChart>
        <c:grouping val="standard"/>
        <c:varyColors val="0"/>
        <c:ser>
          <c:idx val="0"/>
          <c:order val="0"/>
          <c:tx>
            <c:strRef>
              <c:f>'Monthly Pivot'!$B$31:$B$32</c:f>
              <c:strCache>
                <c:ptCount val="1"/>
                <c:pt idx="0">
                  <c:v>15/9-F-1 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'Monthly Pivot'!$A$33:$A$146</c:f>
              <c:multiLvlStrCache>
                <c:ptCount val="104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Apr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Aug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Dec</c:v>
                  </c:pt>
                  <c:pt idx="23">
                    <c:v>Jan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Apr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Aug</c:v>
                  </c:pt>
                  <c:pt idx="31">
                    <c:v>Sept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Jan</c:v>
                  </c:pt>
                  <c:pt idx="36">
                    <c:v>Feb</c:v>
                  </c:pt>
                  <c:pt idx="37">
                    <c:v>Mar</c:v>
                  </c:pt>
                  <c:pt idx="38">
                    <c:v>Apr</c:v>
                  </c:pt>
                  <c:pt idx="39">
                    <c:v>May</c:v>
                  </c:pt>
                  <c:pt idx="40">
                    <c:v>Jun</c:v>
                  </c:pt>
                  <c:pt idx="41">
                    <c:v>Jul</c:v>
                  </c:pt>
                  <c:pt idx="42">
                    <c:v>Aug</c:v>
                  </c:pt>
                  <c:pt idx="43">
                    <c:v>Sept</c:v>
                  </c:pt>
                  <c:pt idx="44">
                    <c:v>Oct</c:v>
                  </c:pt>
                  <c:pt idx="45">
                    <c:v>Nov</c:v>
                  </c:pt>
                  <c:pt idx="46">
                    <c:v>Dec</c:v>
                  </c:pt>
                  <c:pt idx="47">
                    <c:v>Jan</c:v>
                  </c:pt>
                  <c:pt idx="48">
                    <c:v>Feb</c:v>
                  </c:pt>
                  <c:pt idx="49">
                    <c:v>Mar</c:v>
                  </c:pt>
                  <c:pt idx="50">
                    <c:v>Apr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Jul</c:v>
                  </c:pt>
                  <c:pt idx="54">
                    <c:v>Aug</c:v>
                  </c:pt>
                  <c:pt idx="55">
                    <c:v>Sept</c:v>
                  </c:pt>
                  <c:pt idx="56">
                    <c:v>Oct</c:v>
                  </c:pt>
                  <c:pt idx="57">
                    <c:v>Nov</c:v>
                  </c:pt>
                  <c:pt idx="58">
                    <c:v>Dec</c:v>
                  </c:pt>
                  <c:pt idx="59">
                    <c:v>Jan</c:v>
                  </c:pt>
                  <c:pt idx="60">
                    <c:v>Feb</c:v>
                  </c:pt>
                  <c:pt idx="61">
                    <c:v>Mar</c:v>
                  </c:pt>
                  <c:pt idx="62">
                    <c:v>Apr</c:v>
                  </c:pt>
                  <c:pt idx="63">
                    <c:v>May</c:v>
                  </c:pt>
                  <c:pt idx="64">
                    <c:v>Jun</c:v>
                  </c:pt>
                  <c:pt idx="65">
                    <c:v>Jul</c:v>
                  </c:pt>
                  <c:pt idx="66">
                    <c:v>Aug</c:v>
                  </c:pt>
                  <c:pt idx="67">
                    <c:v>Sept</c:v>
                  </c:pt>
                  <c:pt idx="68">
                    <c:v>Oct</c:v>
                  </c:pt>
                  <c:pt idx="69">
                    <c:v>Nov</c:v>
                  </c:pt>
                  <c:pt idx="70">
                    <c:v>Dec</c:v>
                  </c:pt>
                  <c:pt idx="71">
                    <c:v>Jan</c:v>
                  </c:pt>
                  <c:pt idx="72">
                    <c:v>Feb</c:v>
                  </c:pt>
                  <c:pt idx="73">
                    <c:v>Mar</c:v>
                  </c:pt>
                  <c:pt idx="74">
                    <c:v>Apr</c:v>
                  </c:pt>
                  <c:pt idx="75">
                    <c:v>May</c:v>
                  </c:pt>
                  <c:pt idx="76">
                    <c:v>Jun</c:v>
                  </c:pt>
                  <c:pt idx="77">
                    <c:v>Jul</c:v>
                  </c:pt>
                  <c:pt idx="78">
                    <c:v>Aug</c:v>
                  </c:pt>
                  <c:pt idx="79">
                    <c:v>Sept</c:v>
                  </c:pt>
                  <c:pt idx="80">
                    <c:v>Oct</c:v>
                  </c:pt>
                  <c:pt idx="81">
                    <c:v>Nov</c:v>
                  </c:pt>
                  <c:pt idx="82">
                    <c:v>Dec</c:v>
                  </c:pt>
                  <c:pt idx="83">
                    <c:v>Jan</c:v>
                  </c:pt>
                  <c:pt idx="84">
                    <c:v>Feb</c:v>
                  </c:pt>
                  <c:pt idx="85">
                    <c:v>Mar</c:v>
                  </c:pt>
                  <c:pt idx="86">
                    <c:v>Apr</c:v>
                  </c:pt>
                  <c:pt idx="87">
                    <c:v>May</c:v>
                  </c:pt>
                  <c:pt idx="88">
                    <c:v>Jun</c:v>
                  </c:pt>
                  <c:pt idx="89">
                    <c:v>Jul</c:v>
                  </c:pt>
                  <c:pt idx="90">
                    <c:v>Aug</c:v>
                  </c:pt>
                  <c:pt idx="91">
                    <c:v>Sept</c:v>
                  </c:pt>
                  <c:pt idx="92">
                    <c:v>Oct</c:v>
                  </c:pt>
                  <c:pt idx="93">
                    <c:v>Nov</c:v>
                  </c:pt>
                  <c:pt idx="94">
                    <c:v>Dec</c:v>
                  </c:pt>
                  <c:pt idx="95">
                    <c:v>Jan</c:v>
                  </c:pt>
                  <c:pt idx="96">
                    <c:v>Feb</c:v>
                  </c:pt>
                  <c:pt idx="97">
                    <c:v>Mar</c:v>
                  </c:pt>
                  <c:pt idx="98">
                    <c:v>Apr</c:v>
                  </c:pt>
                  <c:pt idx="99">
                    <c:v>May</c:v>
                  </c:pt>
                  <c:pt idx="100">
                    <c:v>Jun</c:v>
                  </c:pt>
                  <c:pt idx="101">
                    <c:v>Jul</c:v>
                  </c:pt>
                  <c:pt idx="102">
                    <c:v>Aug</c:v>
                  </c:pt>
                  <c:pt idx="103">
                    <c:v>Sept</c:v>
                  </c:pt>
                </c:lvl>
                <c:lvl>
                  <c:pt idx="0">
                    <c:v>2008</c:v>
                  </c:pt>
                  <c:pt idx="11">
                    <c:v>2009</c:v>
                  </c:pt>
                  <c:pt idx="23">
                    <c:v>2010</c:v>
                  </c:pt>
                  <c:pt idx="35">
                    <c:v>2011</c:v>
                  </c:pt>
                  <c:pt idx="47">
                    <c:v>2012</c:v>
                  </c:pt>
                  <c:pt idx="59">
                    <c:v>2013</c:v>
                  </c:pt>
                  <c:pt idx="71">
                    <c:v>2014</c:v>
                  </c:pt>
                  <c:pt idx="83">
                    <c:v>2015</c:v>
                  </c:pt>
                  <c:pt idx="95">
                    <c:v>2016</c:v>
                  </c:pt>
                </c:lvl>
              </c:multiLvlStrCache>
            </c:multiLvlStrRef>
          </c:cat>
          <c:val>
            <c:numRef>
              <c:f>'Monthly Pivot'!$B$33:$B$146</c:f>
              <c:numCache>
                <c:formatCode>#,##0</c:formatCode>
                <c:ptCount val="104"/>
                <c:pt idx="74">
                  <c:v>11142.47</c:v>
                </c:pt>
                <c:pt idx="75">
                  <c:v>24901.95</c:v>
                </c:pt>
                <c:pt idx="76">
                  <c:v>19617.759999999998</c:v>
                </c:pt>
                <c:pt idx="77">
                  <c:v>15085.68</c:v>
                </c:pt>
                <c:pt idx="78">
                  <c:v>6970.43</c:v>
                </c:pt>
                <c:pt idx="79">
                  <c:v>9168.43</c:v>
                </c:pt>
                <c:pt idx="80">
                  <c:v>9468.06</c:v>
                </c:pt>
                <c:pt idx="81">
                  <c:v>6710.33</c:v>
                </c:pt>
                <c:pt idx="82">
                  <c:v>120.29</c:v>
                </c:pt>
                <c:pt idx="83">
                  <c:v>10875.53</c:v>
                </c:pt>
                <c:pt idx="84">
                  <c:v>9586.64</c:v>
                </c:pt>
                <c:pt idx="85">
                  <c:v>5879.22</c:v>
                </c:pt>
                <c:pt idx="86">
                  <c:v>3924.18</c:v>
                </c:pt>
                <c:pt idx="87">
                  <c:v>3832.69</c:v>
                </c:pt>
                <c:pt idx="88">
                  <c:v>6344.5</c:v>
                </c:pt>
                <c:pt idx="89">
                  <c:v>2093.9499999999998</c:v>
                </c:pt>
                <c:pt idx="90">
                  <c:v>2871.02</c:v>
                </c:pt>
                <c:pt idx="91">
                  <c:v>6460.27</c:v>
                </c:pt>
                <c:pt idx="92">
                  <c:v>4085.8</c:v>
                </c:pt>
                <c:pt idx="93">
                  <c:v>3332.05</c:v>
                </c:pt>
                <c:pt idx="94">
                  <c:v>2949.42</c:v>
                </c:pt>
                <c:pt idx="95">
                  <c:v>2981.44</c:v>
                </c:pt>
                <c:pt idx="96">
                  <c:v>4718.03</c:v>
                </c:pt>
                <c:pt idx="97">
                  <c:v>2917.5</c:v>
                </c:pt>
                <c:pt idx="98">
                  <c:v>1671.69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47-40F7-8734-7B273FF8D12B}"/>
            </c:ext>
          </c:extLst>
        </c:ser>
        <c:ser>
          <c:idx val="1"/>
          <c:order val="1"/>
          <c:tx>
            <c:strRef>
              <c:f>'Monthly Pivot'!$C$31:$C$32</c:f>
              <c:strCache>
                <c:ptCount val="1"/>
                <c:pt idx="0">
                  <c:v>15/9-F-11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'Monthly Pivot'!$A$33:$A$146</c:f>
              <c:multiLvlStrCache>
                <c:ptCount val="104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Apr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Aug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Dec</c:v>
                  </c:pt>
                  <c:pt idx="23">
                    <c:v>Jan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Apr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Aug</c:v>
                  </c:pt>
                  <c:pt idx="31">
                    <c:v>Sept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Jan</c:v>
                  </c:pt>
                  <c:pt idx="36">
                    <c:v>Feb</c:v>
                  </c:pt>
                  <c:pt idx="37">
                    <c:v>Mar</c:v>
                  </c:pt>
                  <c:pt idx="38">
                    <c:v>Apr</c:v>
                  </c:pt>
                  <c:pt idx="39">
                    <c:v>May</c:v>
                  </c:pt>
                  <c:pt idx="40">
                    <c:v>Jun</c:v>
                  </c:pt>
                  <c:pt idx="41">
                    <c:v>Jul</c:v>
                  </c:pt>
                  <c:pt idx="42">
                    <c:v>Aug</c:v>
                  </c:pt>
                  <c:pt idx="43">
                    <c:v>Sept</c:v>
                  </c:pt>
                  <c:pt idx="44">
                    <c:v>Oct</c:v>
                  </c:pt>
                  <c:pt idx="45">
                    <c:v>Nov</c:v>
                  </c:pt>
                  <c:pt idx="46">
                    <c:v>Dec</c:v>
                  </c:pt>
                  <c:pt idx="47">
                    <c:v>Jan</c:v>
                  </c:pt>
                  <c:pt idx="48">
                    <c:v>Feb</c:v>
                  </c:pt>
                  <c:pt idx="49">
                    <c:v>Mar</c:v>
                  </c:pt>
                  <c:pt idx="50">
                    <c:v>Apr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Jul</c:v>
                  </c:pt>
                  <c:pt idx="54">
                    <c:v>Aug</c:v>
                  </c:pt>
                  <c:pt idx="55">
                    <c:v>Sept</c:v>
                  </c:pt>
                  <c:pt idx="56">
                    <c:v>Oct</c:v>
                  </c:pt>
                  <c:pt idx="57">
                    <c:v>Nov</c:v>
                  </c:pt>
                  <c:pt idx="58">
                    <c:v>Dec</c:v>
                  </c:pt>
                  <c:pt idx="59">
                    <c:v>Jan</c:v>
                  </c:pt>
                  <c:pt idx="60">
                    <c:v>Feb</c:v>
                  </c:pt>
                  <c:pt idx="61">
                    <c:v>Mar</c:v>
                  </c:pt>
                  <c:pt idx="62">
                    <c:v>Apr</c:v>
                  </c:pt>
                  <c:pt idx="63">
                    <c:v>May</c:v>
                  </c:pt>
                  <c:pt idx="64">
                    <c:v>Jun</c:v>
                  </c:pt>
                  <c:pt idx="65">
                    <c:v>Jul</c:v>
                  </c:pt>
                  <c:pt idx="66">
                    <c:v>Aug</c:v>
                  </c:pt>
                  <c:pt idx="67">
                    <c:v>Sept</c:v>
                  </c:pt>
                  <c:pt idx="68">
                    <c:v>Oct</c:v>
                  </c:pt>
                  <c:pt idx="69">
                    <c:v>Nov</c:v>
                  </c:pt>
                  <c:pt idx="70">
                    <c:v>Dec</c:v>
                  </c:pt>
                  <c:pt idx="71">
                    <c:v>Jan</c:v>
                  </c:pt>
                  <c:pt idx="72">
                    <c:v>Feb</c:v>
                  </c:pt>
                  <c:pt idx="73">
                    <c:v>Mar</c:v>
                  </c:pt>
                  <c:pt idx="74">
                    <c:v>Apr</c:v>
                  </c:pt>
                  <c:pt idx="75">
                    <c:v>May</c:v>
                  </c:pt>
                  <c:pt idx="76">
                    <c:v>Jun</c:v>
                  </c:pt>
                  <c:pt idx="77">
                    <c:v>Jul</c:v>
                  </c:pt>
                  <c:pt idx="78">
                    <c:v>Aug</c:v>
                  </c:pt>
                  <c:pt idx="79">
                    <c:v>Sept</c:v>
                  </c:pt>
                  <c:pt idx="80">
                    <c:v>Oct</c:v>
                  </c:pt>
                  <c:pt idx="81">
                    <c:v>Nov</c:v>
                  </c:pt>
                  <c:pt idx="82">
                    <c:v>Dec</c:v>
                  </c:pt>
                  <c:pt idx="83">
                    <c:v>Jan</c:v>
                  </c:pt>
                  <c:pt idx="84">
                    <c:v>Feb</c:v>
                  </c:pt>
                  <c:pt idx="85">
                    <c:v>Mar</c:v>
                  </c:pt>
                  <c:pt idx="86">
                    <c:v>Apr</c:v>
                  </c:pt>
                  <c:pt idx="87">
                    <c:v>May</c:v>
                  </c:pt>
                  <c:pt idx="88">
                    <c:v>Jun</c:v>
                  </c:pt>
                  <c:pt idx="89">
                    <c:v>Jul</c:v>
                  </c:pt>
                  <c:pt idx="90">
                    <c:v>Aug</c:v>
                  </c:pt>
                  <c:pt idx="91">
                    <c:v>Sept</c:v>
                  </c:pt>
                  <c:pt idx="92">
                    <c:v>Oct</c:v>
                  </c:pt>
                  <c:pt idx="93">
                    <c:v>Nov</c:v>
                  </c:pt>
                  <c:pt idx="94">
                    <c:v>Dec</c:v>
                  </c:pt>
                  <c:pt idx="95">
                    <c:v>Jan</c:v>
                  </c:pt>
                  <c:pt idx="96">
                    <c:v>Feb</c:v>
                  </c:pt>
                  <c:pt idx="97">
                    <c:v>Mar</c:v>
                  </c:pt>
                  <c:pt idx="98">
                    <c:v>Apr</c:v>
                  </c:pt>
                  <c:pt idx="99">
                    <c:v>May</c:v>
                  </c:pt>
                  <c:pt idx="100">
                    <c:v>Jun</c:v>
                  </c:pt>
                  <c:pt idx="101">
                    <c:v>Jul</c:v>
                  </c:pt>
                  <c:pt idx="102">
                    <c:v>Aug</c:v>
                  </c:pt>
                  <c:pt idx="103">
                    <c:v>Sept</c:v>
                  </c:pt>
                </c:lvl>
                <c:lvl>
                  <c:pt idx="0">
                    <c:v>2008</c:v>
                  </c:pt>
                  <c:pt idx="11">
                    <c:v>2009</c:v>
                  </c:pt>
                  <c:pt idx="23">
                    <c:v>2010</c:v>
                  </c:pt>
                  <c:pt idx="35">
                    <c:v>2011</c:v>
                  </c:pt>
                  <c:pt idx="47">
                    <c:v>2012</c:v>
                  </c:pt>
                  <c:pt idx="59">
                    <c:v>2013</c:v>
                  </c:pt>
                  <c:pt idx="71">
                    <c:v>2014</c:v>
                  </c:pt>
                  <c:pt idx="83">
                    <c:v>2015</c:v>
                  </c:pt>
                  <c:pt idx="95">
                    <c:v>2016</c:v>
                  </c:pt>
                </c:lvl>
              </c:multiLvlStrCache>
            </c:multiLvlStrRef>
          </c:cat>
          <c:val>
            <c:numRef>
              <c:f>'Monthly Pivot'!$C$33:$C$146</c:f>
              <c:numCache>
                <c:formatCode>#,##0</c:formatCode>
                <c:ptCount val="104"/>
                <c:pt idx="65">
                  <c:v>3923.08</c:v>
                </c:pt>
                <c:pt idx="66">
                  <c:v>25496.07</c:v>
                </c:pt>
                <c:pt idx="67">
                  <c:v>23775.08</c:v>
                </c:pt>
                <c:pt idx="68">
                  <c:v>34114.5</c:v>
                </c:pt>
                <c:pt idx="69">
                  <c:v>35386.35</c:v>
                </c:pt>
                <c:pt idx="70">
                  <c:v>33405.75</c:v>
                </c:pt>
                <c:pt idx="71">
                  <c:v>34552.370000000003</c:v>
                </c:pt>
                <c:pt idx="72">
                  <c:v>28189.97</c:v>
                </c:pt>
                <c:pt idx="73">
                  <c:v>33290.79</c:v>
                </c:pt>
                <c:pt idx="74">
                  <c:v>35428.730000000003</c:v>
                </c:pt>
                <c:pt idx="75">
                  <c:v>34831.879999999997</c:v>
                </c:pt>
                <c:pt idx="76">
                  <c:v>33898.639999999999</c:v>
                </c:pt>
                <c:pt idx="77">
                  <c:v>33760.33</c:v>
                </c:pt>
                <c:pt idx="78">
                  <c:v>26037.54</c:v>
                </c:pt>
                <c:pt idx="79">
                  <c:v>33221.64</c:v>
                </c:pt>
                <c:pt idx="80">
                  <c:v>33851.72</c:v>
                </c:pt>
                <c:pt idx="81">
                  <c:v>26611.5</c:v>
                </c:pt>
                <c:pt idx="82">
                  <c:v>8547.92</c:v>
                </c:pt>
                <c:pt idx="83">
                  <c:v>29561.8</c:v>
                </c:pt>
                <c:pt idx="84">
                  <c:v>25347.22</c:v>
                </c:pt>
                <c:pt idx="85">
                  <c:v>44316.19</c:v>
                </c:pt>
                <c:pt idx="86">
                  <c:v>54555.76</c:v>
                </c:pt>
                <c:pt idx="87">
                  <c:v>55029.22</c:v>
                </c:pt>
                <c:pt idx="88">
                  <c:v>48231.1</c:v>
                </c:pt>
                <c:pt idx="89">
                  <c:v>43784.66</c:v>
                </c:pt>
                <c:pt idx="90">
                  <c:v>31498.15</c:v>
                </c:pt>
                <c:pt idx="91">
                  <c:v>31424.59</c:v>
                </c:pt>
                <c:pt idx="92">
                  <c:v>29724.78</c:v>
                </c:pt>
                <c:pt idx="93">
                  <c:v>36410.230000000003</c:v>
                </c:pt>
                <c:pt idx="94">
                  <c:v>35933.9</c:v>
                </c:pt>
                <c:pt idx="95">
                  <c:v>31603.26</c:v>
                </c:pt>
                <c:pt idx="96">
                  <c:v>25954.57</c:v>
                </c:pt>
                <c:pt idx="97">
                  <c:v>25023.66</c:v>
                </c:pt>
                <c:pt idx="98">
                  <c:v>13429</c:v>
                </c:pt>
                <c:pt idx="99">
                  <c:v>15528.75</c:v>
                </c:pt>
                <c:pt idx="100">
                  <c:v>14590.61</c:v>
                </c:pt>
                <c:pt idx="101">
                  <c:v>14384.88</c:v>
                </c:pt>
                <c:pt idx="102">
                  <c:v>14583.73</c:v>
                </c:pt>
                <c:pt idx="103">
                  <c:v>8609.18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47-40F7-8734-7B273FF8D12B}"/>
            </c:ext>
          </c:extLst>
        </c:ser>
        <c:ser>
          <c:idx val="2"/>
          <c:order val="2"/>
          <c:tx>
            <c:strRef>
              <c:f>'Monthly Pivot'!$D$31:$D$32</c:f>
              <c:strCache>
                <c:ptCount val="1"/>
                <c:pt idx="0">
                  <c:v>15/9-F-12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'Monthly Pivot'!$A$33:$A$146</c:f>
              <c:multiLvlStrCache>
                <c:ptCount val="104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Apr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Aug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Dec</c:v>
                  </c:pt>
                  <c:pt idx="23">
                    <c:v>Jan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Apr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Aug</c:v>
                  </c:pt>
                  <c:pt idx="31">
                    <c:v>Sept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Jan</c:v>
                  </c:pt>
                  <c:pt idx="36">
                    <c:v>Feb</c:v>
                  </c:pt>
                  <c:pt idx="37">
                    <c:v>Mar</c:v>
                  </c:pt>
                  <c:pt idx="38">
                    <c:v>Apr</c:v>
                  </c:pt>
                  <c:pt idx="39">
                    <c:v>May</c:v>
                  </c:pt>
                  <c:pt idx="40">
                    <c:v>Jun</c:v>
                  </c:pt>
                  <c:pt idx="41">
                    <c:v>Jul</c:v>
                  </c:pt>
                  <c:pt idx="42">
                    <c:v>Aug</c:v>
                  </c:pt>
                  <c:pt idx="43">
                    <c:v>Sept</c:v>
                  </c:pt>
                  <c:pt idx="44">
                    <c:v>Oct</c:v>
                  </c:pt>
                  <c:pt idx="45">
                    <c:v>Nov</c:v>
                  </c:pt>
                  <c:pt idx="46">
                    <c:v>Dec</c:v>
                  </c:pt>
                  <c:pt idx="47">
                    <c:v>Jan</c:v>
                  </c:pt>
                  <c:pt idx="48">
                    <c:v>Feb</c:v>
                  </c:pt>
                  <c:pt idx="49">
                    <c:v>Mar</c:v>
                  </c:pt>
                  <c:pt idx="50">
                    <c:v>Apr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Jul</c:v>
                  </c:pt>
                  <c:pt idx="54">
                    <c:v>Aug</c:v>
                  </c:pt>
                  <c:pt idx="55">
                    <c:v>Sept</c:v>
                  </c:pt>
                  <c:pt idx="56">
                    <c:v>Oct</c:v>
                  </c:pt>
                  <c:pt idx="57">
                    <c:v>Nov</c:v>
                  </c:pt>
                  <c:pt idx="58">
                    <c:v>Dec</c:v>
                  </c:pt>
                  <c:pt idx="59">
                    <c:v>Jan</c:v>
                  </c:pt>
                  <c:pt idx="60">
                    <c:v>Feb</c:v>
                  </c:pt>
                  <c:pt idx="61">
                    <c:v>Mar</c:v>
                  </c:pt>
                  <c:pt idx="62">
                    <c:v>Apr</c:v>
                  </c:pt>
                  <c:pt idx="63">
                    <c:v>May</c:v>
                  </c:pt>
                  <c:pt idx="64">
                    <c:v>Jun</c:v>
                  </c:pt>
                  <c:pt idx="65">
                    <c:v>Jul</c:v>
                  </c:pt>
                  <c:pt idx="66">
                    <c:v>Aug</c:v>
                  </c:pt>
                  <c:pt idx="67">
                    <c:v>Sept</c:v>
                  </c:pt>
                  <c:pt idx="68">
                    <c:v>Oct</c:v>
                  </c:pt>
                  <c:pt idx="69">
                    <c:v>Nov</c:v>
                  </c:pt>
                  <c:pt idx="70">
                    <c:v>Dec</c:v>
                  </c:pt>
                  <c:pt idx="71">
                    <c:v>Jan</c:v>
                  </c:pt>
                  <c:pt idx="72">
                    <c:v>Feb</c:v>
                  </c:pt>
                  <c:pt idx="73">
                    <c:v>Mar</c:v>
                  </c:pt>
                  <c:pt idx="74">
                    <c:v>Apr</c:v>
                  </c:pt>
                  <c:pt idx="75">
                    <c:v>May</c:v>
                  </c:pt>
                  <c:pt idx="76">
                    <c:v>Jun</c:v>
                  </c:pt>
                  <c:pt idx="77">
                    <c:v>Jul</c:v>
                  </c:pt>
                  <c:pt idx="78">
                    <c:v>Aug</c:v>
                  </c:pt>
                  <c:pt idx="79">
                    <c:v>Sept</c:v>
                  </c:pt>
                  <c:pt idx="80">
                    <c:v>Oct</c:v>
                  </c:pt>
                  <c:pt idx="81">
                    <c:v>Nov</c:v>
                  </c:pt>
                  <c:pt idx="82">
                    <c:v>Dec</c:v>
                  </c:pt>
                  <c:pt idx="83">
                    <c:v>Jan</c:v>
                  </c:pt>
                  <c:pt idx="84">
                    <c:v>Feb</c:v>
                  </c:pt>
                  <c:pt idx="85">
                    <c:v>Mar</c:v>
                  </c:pt>
                  <c:pt idx="86">
                    <c:v>Apr</c:v>
                  </c:pt>
                  <c:pt idx="87">
                    <c:v>May</c:v>
                  </c:pt>
                  <c:pt idx="88">
                    <c:v>Jun</c:v>
                  </c:pt>
                  <c:pt idx="89">
                    <c:v>Jul</c:v>
                  </c:pt>
                  <c:pt idx="90">
                    <c:v>Aug</c:v>
                  </c:pt>
                  <c:pt idx="91">
                    <c:v>Sept</c:v>
                  </c:pt>
                  <c:pt idx="92">
                    <c:v>Oct</c:v>
                  </c:pt>
                  <c:pt idx="93">
                    <c:v>Nov</c:v>
                  </c:pt>
                  <c:pt idx="94">
                    <c:v>Dec</c:v>
                  </c:pt>
                  <c:pt idx="95">
                    <c:v>Jan</c:v>
                  </c:pt>
                  <c:pt idx="96">
                    <c:v>Feb</c:v>
                  </c:pt>
                  <c:pt idx="97">
                    <c:v>Mar</c:v>
                  </c:pt>
                  <c:pt idx="98">
                    <c:v>Apr</c:v>
                  </c:pt>
                  <c:pt idx="99">
                    <c:v>May</c:v>
                  </c:pt>
                  <c:pt idx="100">
                    <c:v>Jun</c:v>
                  </c:pt>
                  <c:pt idx="101">
                    <c:v>Jul</c:v>
                  </c:pt>
                  <c:pt idx="102">
                    <c:v>Aug</c:v>
                  </c:pt>
                  <c:pt idx="103">
                    <c:v>Sept</c:v>
                  </c:pt>
                </c:lvl>
                <c:lvl>
                  <c:pt idx="0">
                    <c:v>2008</c:v>
                  </c:pt>
                  <c:pt idx="11">
                    <c:v>2009</c:v>
                  </c:pt>
                  <c:pt idx="23">
                    <c:v>2010</c:v>
                  </c:pt>
                  <c:pt idx="35">
                    <c:v>2011</c:v>
                  </c:pt>
                  <c:pt idx="47">
                    <c:v>2012</c:v>
                  </c:pt>
                  <c:pt idx="59">
                    <c:v>2013</c:v>
                  </c:pt>
                  <c:pt idx="71">
                    <c:v>2014</c:v>
                  </c:pt>
                  <c:pt idx="83">
                    <c:v>2015</c:v>
                  </c:pt>
                  <c:pt idx="95">
                    <c:v>2016</c:v>
                  </c:pt>
                </c:lvl>
              </c:multiLvlStrCache>
            </c:multiLvlStrRef>
          </c:cat>
          <c:val>
            <c:numRef>
              <c:f>'Monthly Pivot'!$D$33:$D$146</c:f>
              <c:numCache>
                <c:formatCode>#,##0</c:formatCode>
                <c:ptCount val="104"/>
                <c:pt idx="0">
                  <c:v>49091.06</c:v>
                </c:pt>
                <c:pt idx="1">
                  <c:v>83361.259999999995</c:v>
                </c:pt>
                <c:pt idx="2">
                  <c:v>74532.45</c:v>
                </c:pt>
                <c:pt idx="3">
                  <c:v>125478.56</c:v>
                </c:pt>
                <c:pt idx="4">
                  <c:v>143786.85</c:v>
                </c:pt>
                <c:pt idx="5">
                  <c:v>114994.61</c:v>
                </c:pt>
                <c:pt idx="6">
                  <c:v>97822.46</c:v>
                </c:pt>
                <c:pt idx="7">
                  <c:v>77666.95</c:v>
                </c:pt>
                <c:pt idx="8">
                  <c:v>94357.23</c:v>
                </c:pt>
                <c:pt idx="9">
                  <c:v>145915.56</c:v>
                </c:pt>
                <c:pt idx="10">
                  <c:v>166439.67000000001</c:v>
                </c:pt>
                <c:pt idx="11">
                  <c:v>153677.16</c:v>
                </c:pt>
                <c:pt idx="12">
                  <c:v>121905.01</c:v>
                </c:pt>
                <c:pt idx="13">
                  <c:v>92958.71</c:v>
                </c:pt>
                <c:pt idx="14">
                  <c:v>150955.68</c:v>
                </c:pt>
                <c:pt idx="15">
                  <c:v>141039.01</c:v>
                </c:pt>
                <c:pt idx="16">
                  <c:v>132429.71</c:v>
                </c:pt>
                <c:pt idx="17">
                  <c:v>106105.25</c:v>
                </c:pt>
                <c:pt idx="18">
                  <c:v>112414.27</c:v>
                </c:pt>
                <c:pt idx="19">
                  <c:v>90098.89</c:v>
                </c:pt>
                <c:pt idx="20">
                  <c:v>126939.65</c:v>
                </c:pt>
                <c:pt idx="21">
                  <c:v>136015.67999999999</c:v>
                </c:pt>
                <c:pt idx="22">
                  <c:v>158001.51999999999</c:v>
                </c:pt>
                <c:pt idx="23">
                  <c:v>149658.82999999999</c:v>
                </c:pt>
                <c:pt idx="24">
                  <c:v>103026</c:v>
                </c:pt>
                <c:pt idx="25">
                  <c:v>101571.61</c:v>
                </c:pt>
                <c:pt idx="26">
                  <c:v>86253.61</c:v>
                </c:pt>
                <c:pt idx="27">
                  <c:v>77113.56</c:v>
                </c:pt>
                <c:pt idx="28">
                  <c:v>69617.37</c:v>
                </c:pt>
                <c:pt idx="29">
                  <c:v>64039.69</c:v>
                </c:pt>
                <c:pt idx="30">
                  <c:v>30117.360000000001</c:v>
                </c:pt>
                <c:pt idx="31">
                  <c:v>51312.93</c:v>
                </c:pt>
                <c:pt idx="32">
                  <c:v>51430.58</c:v>
                </c:pt>
                <c:pt idx="33">
                  <c:v>44468.45</c:v>
                </c:pt>
                <c:pt idx="34">
                  <c:v>45217.96</c:v>
                </c:pt>
                <c:pt idx="35">
                  <c:v>44746.55</c:v>
                </c:pt>
                <c:pt idx="36">
                  <c:v>29157.49</c:v>
                </c:pt>
                <c:pt idx="37">
                  <c:v>37395.050000000003</c:v>
                </c:pt>
                <c:pt idx="38">
                  <c:v>37819.72</c:v>
                </c:pt>
                <c:pt idx="39">
                  <c:v>37204.71</c:v>
                </c:pt>
                <c:pt idx="40">
                  <c:v>22026.06</c:v>
                </c:pt>
                <c:pt idx="41">
                  <c:v>12462.42</c:v>
                </c:pt>
                <c:pt idx="42">
                  <c:v>36380.15</c:v>
                </c:pt>
                <c:pt idx="43">
                  <c:v>29999.17</c:v>
                </c:pt>
                <c:pt idx="44">
                  <c:v>12647.5</c:v>
                </c:pt>
                <c:pt idx="45">
                  <c:v>21789.05</c:v>
                </c:pt>
                <c:pt idx="46">
                  <c:v>18090.2</c:v>
                </c:pt>
                <c:pt idx="47">
                  <c:v>18217.849999999999</c:v>
                </c:pt>
                <c:pt idx="48">
                  <c:v>27362.26</c:v>
                </c:pt>
                <c:pt idx="49">
                  <c:v>26679.88</c:v>
                </c:pt>
                <c:pt idx="50">
                  <c:v>24088.35</c:v>
                </c:pt>
                <c:pt idx="51">
                  <c:v>22415.15</c:v>
                </c:pt>
                <c:pt idx="52">
                  <c:v>20887.38</c:v>
                </c:pt>
                <c:pt idx="53">
                  <c:v>21206.94</c:v>
                </c:pt>
                <c:pt idx="54">
                  <c:v>8998.24</c:v>
                </c:pt>
                <c:pt idx="55">
                  <c:v>1013.93</c:v>
                </c:pt>
                <c:pt idx="56">
                  <c:v>19612.849999999999</c:v>
                </c:pt>
                <c:pt idx="57">
                  <c:v>19018.88</c:v>
                </c:pt>
                <c:pt idx="58">
                  <c:v>16320.65</c:v>
                </c:pt>
                <c:pt idx="59">
                  <c:v>17408.57</c:v>
                </c:pt>
                <c:pt idx="60">
                  <c:v>15087.38</c:v>
                </c:pt>
                <c:pt idx="61">
                  <c:v>6305.81</c:v>
                </c:pt>
                <c:pt idx="62">
                  <c:v>12351.34</c:v>
                </c:pt>
                <c:pt idx="63">
                  <c:v>16313.4</c:v>
                </c:pt>
                <c:pt idx="64">
                  <c:v>11899.57</c:v>
                </c:pt>
                <c:pt idx="65">
                  <c:v>11861.63</c:v>
                </c:pt>
                <c:pt idx="66">
                  <c:v>15147.18</c:v>
                </c:pt>
                <c:pt idx="67">
                  <c:v>9223.5300000000007</c:v>
                </c:pt>
                <c:pt idx="68">
                  <c:v>8305.01</c:v>
                </c:pt>
                <c:pt idx="69">
                  <c:v>7170.56</c:v>
                </c:pt>
                <c:pt idx="70">
                  <c:v>7079.52</c:v>
                </c:pt>
                <c:pt idx="71">
                  <c:v>4997.24</c:v>
                </c:pt>
                <c:pt idx="72">
                  <c:v>6101.4</c:v>
                </c:pt>
                <c:pt idx="73">
                  <c:v>6835.66</c:v>
                </c:pt>
                <c:pt idx="74">
                  <c:v>5892.01</c:v>
                </c:pt>
                <c:pt idx="75">
                  <c:v>3237.7</c:v>
                </c:pt>
                <c:pt idx="76">
                  <c:v>5751.2</c:v>
                </c:pt>
                <c:pt idx="77">
                  <c:v>5791.84</c:v>
                </c:pt>
                <c:pt idx="78">
                  <c:v>4448.49</c:v>
                </c:pt>
                <c:pt idx="79">
                  <c:v>5062.59</c:v>
                </c:pt>
                <c:pt idx="80">
                  <c:v>5385.61</c:v>
                </c:pt>
                <c:pt idx="81">
                  <c:v>4495.0600000000004</c:v>
                </c:pt>
                <c:pt idx="83">
                  <c:v>25712.55</c:v>
                </c:pt>
                <c:pt idx="84">
                  <c:v>19578.55</c:v>
                </c:pt>
                <c:pt idx="85">
                  <c:v>19341.43</c:v>
                </c:pt>
                <c:pt idx="86">
                  <c:v>19796.560000000001</c:v>
                </c:pt>
                <c:pt idx="87">
                  <c:v>16996.48</c:v>
                </c:pt>
                <c:pt idx="88">
                  <c:v>19536.3</c:v>
                </c:pt>
                <c:pt idx="89">
                  <c:v>19157.45</c:v>
                </c:pt>
                <c:pt idx="90">
                  <c:v>13473.27</c:v>
                </c:pt>
                <c:pt idx="91">
                  <c:v>12494.51</c:v>
                </c:pt>
                <c:pt idx="92">
                  <c:v>11888.63</c:v>
                </c:pt>
                <c:pt idx="93">
                  <c:v>11369.48</c:v>
                </c:pt>
                <c:pt idx="94">
                  <c:v>10855.97</c:v>
                </c:pt>
                <c:pt idx="95">
                  <c:v>9494.98</c:v>
                </c:pt>
                <c:pt idx="96">
                  <c:v>7644.12</c:v>
                </c:pt>
                <c:pt idx="97">
                  <c:v>7359.93</c:v>
                </c:pt>
                <c:pt idx="98">
                  <c:v>6152.17</c:v>
                </c:pt>
                <c:pt idx="99">
                  <c:v>5865.13</c:v>
                </c:pt>
                <c:pt idx="100">
                  <c:v>5408.31</c:v>
                </c:pt>
                <c:pt idx="101">
                  <c:v>4533.82</c:v>
                </c:pt>
                <c:pt idx="102">
                  <c:v>1442.03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47-40F7-8734-7B273FF8D12B}"/>
            </c:ext>
          </c:extLst>
        </c:ser>
        <c:ser>
          <c:idx val="3"/>
          <c:order val="3"/>
          <c:tx>
            <c:strRef>
              <c:f>'Monthly Pivot'!$E$31:$E$32</c:f>
              <c:strCache>
                <c:ptCount val="1"/>
                <c:pt idx="0">
                  <c:v>15/9-F-14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'Monthly Pivot'!$A$33:$A$146</c:f>
              <c:multiLvlStrCache>
                <c:ptCount val="104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Apr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Aug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Dec</c:v>
                  </c:pt>
                  <c:pt idx="23">
                    <c:v>Jan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Apr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Aug</c:v>
                  </c:pt>
                  <c:pt idx="31">
                    <c:v>Sept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Jan</c:v>
                  </c:pt>
                  <c:pt idx="36">
                    <c:v>Feb</c:v>
                  </c:pt>
                  <c:pt idx="37">
                    <c:v>Mar</c:v>
                  </c:pt>
                  <c:pt idx="38">
                    <c:v>Apr</c:v>
                  </c:pt>
                  <c:pt idx="39">
                    <c:v>May</c:v>
                  </c:pt>
                  <c:pt idx="40">
                    <c:v>Jun</c:v>
                  </c:pt>
                  <c:pt idx="41">
                    <c:v>Jul</c:v>
                  </c:pt>
                  <c:pt idx="42">
                    <c:v>Aug</c:v>
                  </c:pt>
                  <c:pt idx="43">
                    <c:v>Sept</c:v>
                  </c:pt>
                  <c:pt idx="44">
                    <c:v>Oct</c:v>
                  </c:pt>
                  <c:pt idx="45">
                    <c:v>Nov</c:v>
                  </c:pt>
                  <c:pt idx="46">
                    <c:v>Dec</c:v>
                  </c:pt>
                  <c:pt idx="47">
                    <c:v>Jan</c:v>
                  </c:pt>
                  <c:pt idx="48">
                    <c:v>Feb</c:v>
                  </c:pt>
                  <c:pt idx="49">
                    <c:v>Mar</c:v>
                  </c:pt>
                  <c:pt idx="50">
                    <c:v>Apr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Jul</c:v>
                  </c:pt>
                  <c:pt idx="54">
                    <c:v>Aug</c:v>
                  </c:pt>
                  <c:pt idx="55">
                    <c:v>Sept</c:v>
                  </c:pt>
                  <c:pt idx="56">
                    <c:v>Oct</c:v>
                  </c:pt>
                  <c:pt idx="57">
                    <c:v>Nov</c:v>
                  </c:pt>
                  <c:pt idx="58">
                    <c:v>Dec</c:v>
                  </c:pt>
                  <c:pt idx="59">
                    <c:v>Jan</c:v>
                  </c:pt>
                  <c:pt idx="60">
                    <c:v>Feb</c:v>
                  </c:pt>
                  <c:pt idx="61">
                    <c:v>Mar</c:v>
                  </c:pt>
                  <c:pt idx="62">
                    <c:v>Apr</c:v>
                  </c:pt>
                  <c:pt idx="63">
                    <c:v>May</c:v>
                  </c:pt>
                  <c:pt idx="64">
                    <c:v>Jun</c:v>
                  </c:pt>
                  <c:pt idx="65">
                    <c:v>Jul</c:v>
                  </c:pt>
                  <c:pt idx="66">
                    <c:v>Aug</c:v>
                  </c:pt>
                  <c:pt idx="67">
                    <c:v>Sept</c:v>
                  </c:pt>
                  <c:pt idx="68">
                    <c:v>Oct</c:v>
                  </c:pt>
                  <c:pt idx="69">
                    <c:v>Nov</c:v>
                  </c:pt>
                  <c:pt idx="70">
                    <c:v>Dec</c:v>
                  </c:pt>
                  <c:pt idx="71">
                    <c:v>Jan</c:v>
                  </c:pt>
                  <c:pt idx="72">
                    <c:v>Feb</c:v>
                  </c:pt>
                  <c:pt idx="73">
                    <c:v>Mar</c:v>
                  </c:pt>
                  <c:pt idx="74">
                    <c:v>Apr</c:v>
                  </c:pt>
                  <c:pt idx="75">
                    <c:v>May</c:v>
                  </c:pt>
                  <c:pt idx="76">
                    <c:v>Jun</c:v>
                  </c:pt>
                  <c:pt idx="77">
                    <c:v>Jul</c:v>
                  </c:pt>
                  <c:pt idx="78">
                    <c:v>Aug</c:v>
                  </c:pt>
                  <c:pt idx="79">
                    <c:v>Sept</c:v>
                  </c:pt>
                  <c:pt idx="80">
                    <c:v>Oct</c:v>
                  </c:pt>
                  <c:pt idx="81">
                    <c:v>Nov</c:v>
                  </c:pt>
                  <c:pt idx="82">
                    <c:v>Dec</c:v>
                  </c:pt>
                  <c:pt idx="83">
                    <c:v>Jan</c:v>
                  </c:pt>
                  <c:pt idx="84">
                    <c:v>Feb</c:v>
                  </c:pt>
                  <c:pt idx="85">
                    <c:v>Mar</c:v>
                  </c:pt>
                  <c:pt idx="86">
                    <c:v>Apr</c:v>
                  </c:pt>
                  <c:pt idx="87">
                    <c:v>May</c:v>
                  </c:pt>
                  <c:pt idx="88">
                    <c:v>Jun</c:v>
                  </c:pt>
                  <c:pt idx="89">
                    <c:v>Jul</c:v>
                  </c:pt>
                  <c:pt idx="90">
                    <c:v>Aug</c:v>
                  </c:pt>
                  <c:pt idx="91">
                    <c:v>Sept</c:v>
                  </c:pt>
                  <c:pt idx="92">
                    <c:v>Oct</c:v>
                  </c:pt>
                  <c:pt idx="93">
                    <c:v>Nov</c:v>
                  </c:pt>
                  <c:pt idx="94">
                    <c:v>Dec</c:v>
                  </c:pt>
                  <c:pt idx="95">
                    <c:v>Jan</c:v>
                  </c:pt>
                  <c:pt idx="96">
                    <c:v>Feb</c:v>
                  </c:pt>
                  <c:pt idx="97">
                    <c:v>Mar</c:v>
                  </c:pt>
                  <c:pt idx="98">
                    <c:v>Apr</c:v>
                  </c:pt>
                  <c:pt idx="99">
                    <c:v>May</c:v>
                  </c:pt>
                  <c:pt idx="100">
                    <c:v>Jun</c:v>
                  </c:pt>
                  <c:pt idx="101">
                    <c:v>Jul</c:v>
                  </c:pt>
                  <c:pt idx="102">
                    <c:v>Aug</c:v>
                  </c:pt>
                  <c:pt idx="103">
                    <c:v>Sept</c:v>
                  </c:pt>
                </c:lvl>
                <c:lvl>
                  <c:pt idx="0">
                    <c:v>2008</c:v>
                  </c:pt>
                  <c:pt idx="11">
                    <c:v>2009</c:v>
                  </c:pt>
                  <c:pt idx="23">
                    <c:v>2010</c:v>
                  </c:pt>
                  <c:pt idx="35">
                    <c:v>2011</c:v>
                  </c:pt>
                  <c:pt idx="47">
                    <c:v>2012</c:v>
                  </c:pt>
                  <c:pt idx="59">
                    <c:v>2013</c:v>
                  </c:pt>
                  <c:pt idx="71">
                    <c:v>2014</c:v>
                  </c:pt>
                  <c:pt idx="83">
                    <c:v>2015</c:v>
                  </c:pt>
                  <c:pt idx="95">
                    <c:v>2016</c:v>
                  </c:pt>
                </c:lvl>
              </c:multiLvlStrCache>
            </c:multiLvlStrRef>
          </c:cat>
          <c:val>
            <c:numRef>
              <c:f>'Monthly Pivot'!$E$33:$E$146</c:f>
              <c:numCache>
                <c:formatCode>#,##0</c:formatCode>
                <c:ptCount val="104"/>
                <c:pt idx="5">
                  <c:v>51285.08</c:v>
                </c:pt>
                <c:pt idx="6">
                  <c:v>67621.2</c:v>
                </c:pt>
                <c:pt idx="7">
                  <c:v>114596.26</c:v>
                </c:pt>
                <c:pt idx="8">
                  <c:v>142817.06</c:v>
                </c:pt>
                <c:pt idx="9">
                  <c:v>104409.61</c:v>
                </c:pt>
                <c:pt idx="10">
                  <c:v>110199.28</c:v>
                </c:pt>
                <c:pt idx="11">
                  <c:v>115572.66</c:v>
                </c:pt>
                <c:pt idx="12">
                  <c:v>113880.98</c:v>
                </c:pt>
                <c:pt idx="13">
                  <c:v>90644.44</c:v>
                </c:pt>
                <c:pt idx="14">
                  <c:v>86944.06</c:v>
                </c:pt>
                <c:pt idx="15">
                  <c:v>116175.03999999999</c:v>
                </c:pt>
                <c:pt idx="16">
                  <c:v>86654.03</c:v>
                </c:pt>
                <c:pt idx="17">
                  <c:v>64871.82</c:v>
                </c:pt>
                <c:pt idx="18">
                  <c:v>112493.5</c:v>
                </c:pt>
                <c:pt idx="19">
                  <c:v>90349.8</c:v>
                </c:pt>
                <c:pt idx="20">
                  <c:v>96707.32</c:v>
                </c:pt>
                <c:pt idx="21">
                  <c:v>98043.5</c:v>
                </c:pt>
                <c:pt idx="22">
                  <c:v>89514.35</c:v>
                </c:pt>
                <c:pt idx="23">
                  <c:v>82221.25</c:v>
                </c:pt>
                <c:pt idx="24">
                  <c:v>62092.98</c:v>
                </c:pt>
                <c:pt idx="25">
                  <c:v>66989.25</c:v>
                </c:pt>
                <c:pt idx="26">
                  <c:v>73035.81</c:v>
                </c:pt>
                <c:pt idx="27">
                  <c:v>87809.279999999999</c:v>
                </c:pt>
                <c:pt idx="28">
                  <c:v>75309.820000000007</c:v>
                </c:pt>
                <c:pt idx="29">
                  <c:v>69600.25</c:v>
                </c:pt>
                <c:pt idx="30">
                  <c:v>38413.730000000003</c:v>
                </c:pt>
                <c:pt idx="31">
                  <c:v>55405.21</c:v>
                </c:pt>
                <c:pt idx="32">
                  <c:v>78755.31</c:v>
                </c:pt>
                <c:pt idx="33">
                  <c:v>62555.48</c:v>
                </c:pt>
                <c:pt idx="34">
                  <c:v>63886.23</c:v>
                </c:pt>
                <c:pt idx="35">
                  <c:v>61328.45</c:v>
                </c:pt>
                <c:pt idx="36">
                  <c:v>44066.31</c:v>
                </c:pt>
                <c:pt idx="37">
                  <c:v>56709.96</c:v>
                </c:pt>
                <c:pt idx="38">
                  <c:v>51814.239999999998</c:v>
                </c:pt>
                <c:pt idx="39">
                  <c:v>51121.62</c:v>
                </c:pt>
                <c:pt idx="40">
                  <c:v>31194.51</c:v>
                </c:pt>
                <c:pt idx="41">
                  <c:v>20211.310000000001</c:v>
                </c:pt>
                <c:pt idx="42">
                  <c:v>49730.28</c:v>
                </c:pt>
                <c:pt idx="43">
                  <c:v>51053.13</c:v>
                </c:pt>
                <c:pt idx="44">
                  <c:v>21807.23</c:v>
                </c:pt>
                <c:pt idx="45">
                  <c:v>35043.89</c:v>
                </c:pt>
                <c:pt idx="46">
                  <c:v>34166.400000000001</c:v>
                </c:pt>
                <c:pt idx="47">
                  <c:v>27309.23</c:v>
                </c:pt>
                <c:pt idx="48">
                  <c:v>36797.660000000003</c:v>
                </c:pt>
                <c:pt idx="49">
                  <c:v>34745.589999999997</c:v>
                </c:pt>
                <c:pt idx="50">
                  <c:v>36509.79</c:v>
                </c:pt>
                <c:pt idx="51">
                  <c:v>35051.96</c:v>
                </c:pt>
                <c:pt idx="52">
                  <c:v>31665.55</c:v>
                </c:pt>
                <c:pt idx="53">
                  <c:v>32960.699999999997</c:v>
                </c:pt>
                <c:pt idx="54">
                  <c:v>12689.84</c:v>
                </c:pt>
                <c:pt idx="55">
                  <c:v>1655.08</c:v>
                </c:pt>
                <c:pt idx="56">
                  <c:v>33944.019999999997</c:v>
                </c:pt>
                <c:pt idx="57">
                  <c:v>34931.660000000003</c:v>
                </c:pt>
                <c:pt idx="58">
                  <c:v>30122.89</c:v>
                </c:pt>
                <c:pt idx="59">
                  <c:v>30184.799999999999</c:v>
                </c:pt>
                <c:pt idx="60">
                  <c:v>26595.53</c:v>
                </c:pt>
                <c:pt idx="61">
                  <c:v>18816.52</c:v>
                </c:pt>
                <c:pt idx="62">
                  <c:v>22875.42</c:v>
                </c:pt>
                <c:pt idx="63">
                  <c:v>27661.53</c:v>
                </c:pt>
                <c:pt idx="64">
                  <c:v>22298.26</c:v>
                </c:pt>
                <c:pt idx="65">
                  <c:v>22602.78</c:v>
                </c:pt>
                <c:pt idx="66">
                  <c:v>21666.9</c:v>
                </c:pt>
                <c:pt idx="67">
                  <c:v>17870.72</c:v>
                </c:pt>
                <c:pt idx="68">
                  <c:v>18441.11</c:v>
                </c:pt>
                <c:pt idx="69">
                  <c:v>19248.66</c:v>
                </c:pt>
                <c:pt idx="70">
                  <c:v>15495.97</c:v>
                </c:pt>
                <c:pt idx="71">
                  <c:v>16686.580000000002</c:v>
                </c:pt>
                <c:pt idx="72">
                  <c:v>14766.13</c:v>
                </c:pt>
                <c:pt idx="73">
                  <c:v>14954.84</c:v>
                </c:pt>
                <c:pt idx="74">
                  <c:v>16572.240000000002</c:v>
                </c:pt>
                <c:pt idx="75">
                  <c:v>13637.02</c:v>
                </c:pt>
                <c:pt idx="76">
                  <c:v>13257.99</c:v>
                </c:pt>
                <c:pt idx="77">
                  <c:v>13495.98</c:v>
                </c:pt>
                <c:pt idx="78">
                  <c:v>8443.73</c:v>
                </c:pt>
                <c:pt idx="79">
                  <c:v>9622.2099999999991</c:v>
                </c:pt>
                <c:pt idx="80">
                  <c:v>10076.219999999999</c:v>
                </c:pt>
                <c:pt idx="81">
                  <c:v>10386.41</c:v>
                </c:pt>
                <c:pt idx="82">
                  <c:v>9665.11</c:v>
                </c:pt>
                <c:pt idx="83">
                  <c:v>9120.98</c:v>
                </c:pt>
                <c:pt idx="84">
                  <c:v>7178.8</c:v>
                </c:pt>
                <c:pt idx="85">
                  <c:v>8069.04</c:v>
                </c:pt>
                <c:pt idx="86">
                  <c:v>7687.2</c:v>
                </c:pt>
                <c:pt idx="87">
                  <c:v>7147.79</c:v>
                </c:pt>
                <c:pt idx="88">
                  <c:v>6069.93</c:v>
                </c:pt>
                <c:pt idx="89">
                  <c:v>6720.74</c:v>
                </c:pt>
                <c:pt idx="90">
                  <c:v>4876.3100000000004</c:v>
                </c:pt>
                <c:pt idx="91">
                  <c:v>5300.41</c:v>
                </c:pt>
                <c:pt idx="92">
                  <c:v>5634.86</c:v>
                </c:pt>
                <c:pt idx="93">
                  <c:v>5431.56</c:v>
                </c:pt>
                <c:pt idx="94">
                  <c:v>5158.09</c:v>
                </c:pt>
                <c:pt idx="95">
                  <c:v>4606.3</c:v>
                </c:pt>
                <c:pt idx="96">
                  <c:v>3941.77</c:v>
                </c:pt>
                <c:pt idx="97">
                  <c:v>3753.8</c:v>
                </c:pt>
                <c:pt idx="98">
                  <c:v>3112.41</c:v>
                </c:pt>
                <c:pt idx="99">
                  <c:v>3212.96</c:v>
                </c:pt>
                <c:pt idx="100">
                  <c:v>3075.03</c:v>
                </c:pt>
                <c:pt idx="101">
                  <c:v>1326.86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47-40F7-8734-7B273FF8D12B}"/>
            </c:ext>
          </c:extLst>
        </c:ser>
        <c:ser>
          <c:idx val="4"/>
          <c:order val="4"/>
          <c:tx>
            <c:strRef>
              <c:f>'Monthly Pivot'!$F$31:$F$32</c:f>
              <c:strCache>
                <c:ptCount val="1"/>
                <c:pt idx="0">
                  <c:v>15/9-F-15 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'Monthly Pivot'!$A$33:$A$146</c:f>
              <c:multiLvlStrCache>
                <c:ptCount val="104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Apr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Aug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Dec</c:v>
                  </c:pt>
                  <c:pt idx="23">
                    <c:v>Jan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Apr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Aug</c:v>
                  </c:pt>
                  <c:pt idx="31">
                    <c:v>Sept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Jan</c:v>
                  </c:pt>
                  <c:pt idx="36">
                    <c:v>Feb</c:v>
                  </c:pt>
                  <c:pt idx="37">
                    <c:v>Mar</c:v>
                  </c:pt>
                  <c:pt idx="38">
                    <c:v>Apr</c:v>
                  </c:pt>
                  <c:pt idx="39">
                    <c:v>May</c:v>
                  </c:pt>
                  <c:pt idx="40">
                    <c:v>Jun</c:v>
                  </c:pt>
                  <c:pt idx="41">
                    <c:v>Jul</c:v>
                  </c:pt>
                  <c:pt idx="42">
                    <c:v>Aug</c:v>
                  </c:pt>
                  <c:pt idx="43">
                    <c:v>Sept</c:v>
                  </c:pt>
                  <c:pt idx="44">
                    <c:v>Oct</c:v>
                  </c:pt>
                  <c:pt idx="45">
                    <c:v>Nov</c:v>
                  </c:pt>
                  <c:pt idx="46">
                    <c:v>Dec</c:v>
                  </c:pt>
                  <c:pt idx="47">
                    <c:v>Jan</c:v>
                  </c:pt>
                  <c:pt idx="48">
                    <c:v>Feb</c:v>
                  </c:pt>
                  <c:pt idx="49">
                    <c:v>Mar</c:v>
                  </c:pt>
                  <c:pt idx="50">
                    <c:v>Apr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Jul</c:v>
                  </c:pt>
                  <c:pt idx="54">
                    <c:v>Aug</c:v>
                  </c:pt>
                  <c:pt idx="55">
                    <c:v>Sept</c:v>
                  </c:pt>
                  <c:pt idx="56">
                    <c:v>Oct</c:v>
                  </c:pt>
                  <c:pt idx="57">
                    <c:v>Nov</c:v>
                  </c:pt>
                  <c:pt idx="58">
                    <c:v>Dec</c:v>
                  </c:pt>
                  <c:pt idx="59">
                    <c:v>Jan</c:v>
                  </c:pt>
                  <c:pt idx="60">
                    <c:v>Feb</c:v>
                  </c:pt>
                  <c:pt idx="61">
                    <c:v>Mar</c:v>
                  </c:pt>
                  <c:pt idx="62">
                    <c:v>Apr</c:v>
                  </c:pt>
                  <c:pt idx="63">
                    <c:v>May</c:v>
                  </c:pt>
                  <c:pt idx="64">
                    <c:v>Jun</c:v>
                  </c:pt>
                  <c:pt idx="65">
                    <c:v>Jul</c:v>
                  </c:pt>
                  <c:pt idx="66">
                    <c:v>Aug</c:v>
                  </c:pt>
                  <c:pt idx="67">
                    <c:v>Sept</c:v>
                  </c:pt>
                  <c:pt idx="68">
                    <c:v>Oct</c:v>
                  </c:pt>
                  <c:pt idx="69">
                    <c:v>Nov</c:v>
                  </c:pt>
                  <c:pt idx="70">
                    <c:v>Dec</c:v>
                  </c:pt>
                  <c:pt idx="71">
                    <c:v>Jan</c:v>
                  </c:pt>
                  <c:pt idx="72">
                    <c:v>Feb</c:v>
                  </c:pt>
                  <c:pt idx="73">
                    <c:v>Mar</c:v>
                  </c:pt>
                  <c:pt idx="74">
                    <c:v>Apr</c:v>
                  </c:pt>
                  <c:pt idx="75">
                    <c:v>May</c:v>
                  </c:pt>
                  <c:pt idx="76">
                    <c:v>Jun</c:v>
                  </c:pt>
                  <c:pt idx="77">
                    <c:v>Jul</c:v>
                  </c:pt>
                  <c:pt idx="78">
                    <c:v>Aug</c:v>
                  </c:pt>
                  <c:pt idx="79">
                    <c:v>Sept</c:v>
                  </c:pt>
                  <c:pt idx="80">
                    <c:v>Oct</c:v>
                  </c:pt>
                  <c:pt idx="81">
                    <c:v>Nov</c:v>
                  </c:pt>
                  <c:pt idx="82">
                    <c:v>Dec</c:v>
                  </c:pt>
                  <c:pt idx="83">
                    <c:v>Jan</c:v>
                  </c:pt>
                  <c:pt idx="84">
                    <c:v>Feb</c:v>
                  </c:pt>
                  <c:pt idx="85">
                    <c:v>Mar</c:v>
                  </c:pt>
                  <c:pt idx="86">
                    <c:v>Apr</c:v>
                  </c:pt>
                  <c:pt idx="87">
                    <c:v>May</c:v>
                  </c:pt>
                  <c:pt idx="88">
                    <c:v>Jun</c:v>
                  </c:pt>
                  <c:pt idx="89">
                    <c:v>Jul</c:v>
                  </c:pt>
                  <c:pt idx="90">
                    <c:v>Aug</c:v>
                  </c:pt>
                  <c:pt idx="91">
                    <c:v>Sept</c:v>
                  </c:pt>
                  <c:pt idx="92">
                    <c:v>Oct</c:v>
                  </c:pt>
                  <c:pt idx="93">
                    <c:v>Nov</c:v>
                  </c:pt>
                  <c:pt idx="94">
                    <c:v>Dec</c:v>
                  </c:pt>
                  <c:pt idx="95">
                    <c:v>Jan</c:v>
                  </c:pt>
                  <c:pt idx="96">
                    <c:v>Feb</c:v>
                  </c:pt>
                  <c:pt idx="97">
                    <c:v>Mar</c:v>
                  </c:pt>
                  <c:pt idx="98">
                    <c:v>Apr</c:v>
                  </c:pt>
                  <c:pt idx="99">
                    <c:v>May</c:v>
                  </c:pt>
                  <c:pt idx="100">
                    <c:v>Jun</c:v>
                  </c:pt>
                  <c:pt idx="101">
                    <c:v>Jul</c:v>
                  </c:pt>
                  <c:pt idx="102">
                    <c:v>Aug</c:v>
                  </c:pt>
                  <c:pt idx="103">
                    <c:v>Sept</c:v>
                  </c:pt>
                </c:lvl>
                <c:lvl>
                  <c:pt idx="0">
                    <c:v>2008</c:v>
                  </c:pt>
                  <c:pt idx="11">
                    <c:v>2009</c:v>
                  </c:pt>
                  <c:pt idx="23">
                    <c:v>2010</c:v>
                  </c:pt>
                  <c:pt idx="35">
                    <c:v>2011</c:v>
                  </c:pt>
                  <c:pt idx="47">
                    <c:v>2012</c:v>
                  </c:pt>
                  <c:pt idx="59">
                    <c:v>2013</c:v>
                  </c:pt>
                  <c:pt idx="71">
                    <c:v>2014</c:v>
                  </c:pt>
                  <c:pt idx="83">
                    <c:v>2015</c:v>
                  </c:pt>
                  <c:pt idx="95">
                    <c:v>2016</c:v>
                  </c:pt>
                </c:lvl>
              </c:multiLvlStrCache>
            </c:multiLvlStrRef>
          </c:cat>
          <c:val>
            <c:numRef>
              <c:f>'Monthly Pivot'!$F$33:$F$146</c:f>
              <c:numCache>
                <c:formatCode>#,##0</c:formatCode>
                <c:ptCount val="104"/>
                <c:pt idx="71">
                  <c:v>5674.63</c:v>
                </c:pt>
                <c:pt idx="72">
                  <c:v>7898.6</c:v>
                </c:pt>
                <c:pt idx="73">
                  <c:v>7081.47</c:v>
                </c:pt>
                <c:pt idx="74">
                  <c:v>7163.3</c:v>
                </c:pt>
                <c:pt idx="75">
                  <c:v>7218.61</c:v>
                </c:pt>
                <c:pt idx="76">
                  <c:v>7012.55</c:v>
                </c:pt>
                <c:pt idx="77">
                  <c:v>6847.42</c:v>
                </c:pt>
                <c:pt idx="78">
                  <c:v>3475.39</c:v>
                </c:pt>
                <c:pt idx="79">
                  <c:v>5314.55</c:v>
                </c:pt>
                <c:pt idx="80">
                  <c:v>5732.97</c:v>
                </c:pt>
                <c:pt idx="81">
                  <c:v>4716.3100000000004</c:v>
                </c:pt>
                <c:pt idx="83">
                  <c:v>5975.51</c:v>
                </c:pt>
                <c:pt idx="84">
                  <c:v>4581.29</c:v>
                </c:pt>
                <c:pt idx="85">
                  <c:v>4133.47</c:v>
                </c:pt>
                <c:pt idx="86">
                  <c:v>4259.92</c:v>
                </c:pt>
                <c:pt idx="87">
                  <c:v>4057.96</c:v>
                </c:pt>
                <c:pt idx="88">
                  <c:v>3665.8</c:v>
                </c:pt>
                <c:pt idx="89">
                  <c:v>2238.4499999999998</c:v>
                </c:pt>
                <c:pt idx="90">
                  <c:v>3577.67</c:v>
                </c:pt>
                <c:pt idx="91">
                  <c:v>7417.35</c:v>
                </c:pt>
                <c:pt idx="92">
                  <c:v>6346.83</c:v>
                </c:pt>
                <c:pt idx="93">
                  <c:v>3926.01</c:v>
                </c:pt>
                <c:pt idx="94">
                  <c:v>4919.04</c:v>
                </c:pt>
                <c:pt idx="95">
                  <c:v>2890.93</c:v>
                </c:pt>
                <c:pt idx="96">
                  <c:v>5109.33</c:v>
                </c:pt>
                <c:pt idx="97">
                  <c:v>3747.55</c:v>
                </c:pt>
                <c:pt idx="98">
                  <c:v>4544.16</c:v>
                </c:pt>
                <c:pt idx="99">
                  <c:v>4699.01</c:v>
                </c:pt>
                <c:pt idx="100">
                  <c:v>3463.91</c:v>
                </c:pt>
                <c:pt idx="101">
                  <c:v>828.57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47-40F7-8734-7B273FF8D12B}"/>
            </c:ext>
          </c:extLst>
        </c:ser>
        <c:ser>
          <c:idx val="5"/>
          <c:order val="5"/>
          <c:tx>
            <c:strRef>
              <c:f>'Monthly Pivot'!$G$31:$G$32</c:f>
              <c:strCache>
                <c:ptCount val="1"/>
                <c:pt idx="0">
                  <c:v>15/9-F-5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'Monthly Pivot'!$A$33:$A$146</c:f>
              <c:multiLvlStrCache>
                <c:ptCount val="104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Apr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Aug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Dec</c:v>
                  </c:pt>
                  <c:pt idx="23">
                    <c:v>Jan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Apr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Aug</c:v>
                  </c:pt>
                  <c:pt idx="31">
                    <c:v>Sept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Jan</c:v>
                  </c:pt>
                  <c:pt idx="36">
                    <c:v>Feb</c:v>
                  </c:pt>
                  <c:pt idx="37">
                    <c:v>Mar</c:v>
                  </c:pt>
                  <c:pt idx="38">
                    <c:v>Apr</c:v>
                  </c:pt>
                  <c:pt idx="39">
                    <c:v>May</c:v>
                  </c:pt>
                  <c:pt idx="40">
                    <c:v>Jun</c:v>
                  </c:pt>
                  <c:pt idx="41">
                    <c:v>Jul</c:v>
                  </c:pt>
                  <c:pt idx="42">
                    <c:v>Aug</c:v>
                  </c:pt>
                  <c:pt idx="43">
                    <c:v>Sept</c:v>
                  </c:pt>
                  <c:pt idx="44">
                    <c:v>Oct</c:v>
                  </c:pt>
                  <c:pt idx="45">
                    <c:v>Nov</c:v>
                  </c:pt>
                  <c:pt idx="46">
                    <c:v>Dec</c:v>
                  </c:pt>
                  <c:pt idx="47">
                    <c:v>Jan</c:v>
                  </c:pt>
                  <c:pt idx="48">
                    <c:v>Feb</c:v>
                  </c:pt>
                  <c:pt idx="49">
                    <c:v>Mar</c:v>
                  </c:pt>
                  <c:pt idx="50">
                    <c:v>Apr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Jul</c:v>
                  </c:pt>
                  <c:pt idx="54">
                    <c:v>Aug</c:v>
                  </c:pt>
                  <c:pt idx="55">
                    <c:v>Sept</c:v>
                  </c:pt>
                  <c:pt idx="56">
                    <c:v>Oct</c:v>
                  </c:pt>
                  <c:pt idx="57">
                    <c:v>Nov</c:v>
                  </c:pt>
                  <c:pt idx="58">
                    <c:v>Dec</c:v>
                  </c:pt>
                  <c:pt idx="59">
                    <c:v>Jan</c:v>
                  </c:pt>
                  <c:pt idx="60">
                    <c:v>Feb</c:v>
                  </c:pt>
                  <c:pt idx="61">
                    <c:v>Mar</c:v>
                  </c:pt>
                  <c:pt idx="62">
                    <c:v>Apr</c:v>
                  </c:pt>
                  <c:pt idx="63">
                    <c:v>May</c:v>
                  </c:pt>
                  <c:pt idx="64">
                    <c:v>Jun</c:v>
                  </c:pt>
                  <c:pt idx="65">
                    <c:v>Jul</c:v>
                  </c:pt>
                  <c:pt idx="66">
                    <c:v>Aug</c:v>
                  </c:pt>
                  <c:pt idx="67">
                    <c:v>Sept</c:v>
                  </c:pt>
                  <c:pt idx="68">
                    <c:v>Oct</c:v>
                  </c:pt>
                  <c:pt idx="69">
                    <c:v>Nov</c:v>
                  </c:pt>
                  <c:pt idx="70">
                    <c:v>Dec</c:v>
                  </c:pt>
                  <c:pt idx="71">
                    <c:v>Jan</c:v>
                  </c:pt>
                  <c:pt idx="72">
                    <c:v>Feb</c:v>
                  </c:pt>
                  <c:pt idx="73">
                    <c:v>Mar</c:v>
                  </c:pt>
                  <c:pt idx="74">
                    <c:v>Apr</c:v>
                  </c:pt>
                  <c:pt idx="75">
                    <c:v>May</c:v>
                  </c:pt>
                  <c:pt idx="76">
                    <c:v>Jun</c:v>
                  </c:pt>
                  <c:pt idx="77">
                    <c:v>Jul</c:v>
                  </c:pt>
                  <c:pt idx="78">
                    <c:v>Aug</c:v>
                  </c:pt>
                  <c:pt idx="79">
                    <c:v>Sept</c:v>
                  </c:pt>
                  <c:pt idx="80">
                    <c:v>Oct</c:v>
                  </c:pt>
                  <c:pt idx="81">
                    <c:v>Nov</c:v>
                  </c:pt>
                  <c:pt idx="82">
                    <c:v>Dec</c:v>
                  </c:pt>
                  <c:pt idx="83">
                    <c:v>Jan</c:v>
                  </c:pt>
                  <c:pt idx="84">
                    <c:v>Feb</c:v>
                  </c:pt>
                  <c:pt idx="85">
                    <c:v>Mar</c:v>
                  </c:pt>
                  <c:pt idx="86">
                    <c:v>Apr</c:v>
                  </c:pt>
                  <c:pt idx="87">
                    <c:v>May</c:v>
                  </c:pt>
                  <c:pt idx="88">
                    <c:v>Jun</c:v>
                  </c:pt>
                  <c:pt idx="89">
                    <c:v>Jul</c:v>
                  </c:pt>
                  <c:pt idx="90">
                    <c:v>Aug</c:v>
                  </c:pt>
                  <c:pt idx="91">
                    <c:v>Sept</c:v>
                  </c:pt>
                  <c:pt idx="92">
                    <c:v>Oct</c:v>
                  </c:pt>
                  <c:pt idx="93">
                    <c:v>Nov</c:v>
                  </c:pt>
                  <c:pt idx="94">
                    <c:v>Dec</c:v>
                  </c:pt>
                  <c:pt idx="95">
                    <c:v>Jan</c:v>
                  </c:pt>
                  <c:pt idx="96">
                    <c:v>Feb</c:v>
                  </c:pt>
                  <c:pt idx="97">
                    <c:v>Mar</c:v>
                  </c:pt>
                  <c:pt idx="98">
                    <c:v>Apr</c:v>
                  </c:pt>
                  <c:pt idx="99">
                    <c:v>May</c:v>
                  </c:pt>
                  <c:pt idx="100">
                    <c:v>Jun</c:v>
                  </c:pt>
                  <c:pt idx="101">
                    <c:v>Jul</c:v>
                  </c:pt>
                  <c:pt idx="102">
                    <c:v>Aug</c:v>
                  </c:pt>
                  <c:pt idx="103">
                    <c:v>Sept</c:v>
                  </c:pt>
                </c:lvl>
                <c:lvl>
                  <c:pt idx="0">
                    <c:v>2008</c:v>
                  </c:pt>
                  <c:pt idx="11">
                    <c:v>2009</c:v>
                  </c:pt>
                  <c:pt idx="23">
                    <c:v>2010</c:v>
                  </c:pt>
                  <c:pt idx="35">
                    <c:v>2011</c:v>
                  </c:pt>
                  <c:pt idx="47">
                    <c:v>2012</c:v>
                  </c:pt>
                  <c:pt idx="59">
                    <c:v>2013</c:v>
                  </c:pt>
                  <c:pt idx="71">
                    <c:v>2014</c:v>
                  </c:pt>
                  <c:pt idx="83">
                    <c:v>2015</c:v>
                  </c:pt>
                  <c:pt idx="95">
                    <c:v>2016</c:v>
                  </c:pt>
                </c:lvl>
              </c:multiLvlStrCache>
            </c:multiLvlStrRef>
          </c:cat>
          <c:val>
            <c:numRef>
              <c:f>'Monthly Pivot'!$G$33:$G$146</c:f>
              <c:numCache>
                <c:formatCode>#,##0</c:formatCode>
                <c:ptCount val="104"/>
                <c:pt idx="99">
                  <c:v>9724.4</c:v>
                </c:pt>
                <c:pt idx="100">
                  <c:v>9121.48</c:v>
                </c:pt>
                <c:pt idx="101">
                  <c:v>9985.2900000000009</c:v>
                </c:pt>
                <c:pt idx="102">
                  <c:v>8928.9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47-40F7-8734-7B273FF8D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171008"/>
        <c:axId val="957167648"/>
      </c:lineChart>
      <c:catAx>
        <c:axId val="95717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167648"/>
        <c:crosses val="autoZero"/>
        <c:auto val="1"/>
        <c:lblAlgn val="ctr"/>
        <c:lblOffset val="100"/>
        <c:noMultiLvlLbl val="0"/>
      </c:catAx>
      <c:valAx>
        <c:axId val="95716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17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681447918045102"/>
          <c:y val="6.70085843710896E-2"/>
          <c:w val="0.14700907150150824"/>
          <c:h val="0.333163399288134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[Volve_Production_Dashboard.xlsx]Monthly Pivot!PivotTable7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50" b="1" i="0" u="none" strike="noStrike" baseline="0"/>
              <a:t>Oil Production Rate Decline per Producer — Volve Field (Sm³/day)</a:t>
            </a:r>
            <a:endParaRPr lang="en-US" sz="1150" b="1"/>
          </a:p>
        </c:rich>
      </c:tx>
      <c:layout>
        <c:manualLayout>
          <c:xMode val="edge"/>
          <c:yMode val="edge"/>
          <c:x val="0.13460027579656336"/>
          <c:y val="0.116702626073715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92373338091913E-2"/>
          <c:y val="0.17509629478133415"/>
          <c:w val="0.89175239973291642"/>
          <c:h val="0.62044980741043732"/>
        </c:manualLayout>
      </c:layout>
      <c:lineChart>
        <c:grouping val="standard"/>
        <c:varyColors val="0"/>
        <c:ser>
          <c:idx val="0"/>
          <c:order val="0"/>
          <c:tx>
            <c:strRef>
              <c:f>'Monthly Pivot'!$B$160:$B$161</c:f>
              <c:strCache>
                <c:ptCount val="1"/>
                <c:pt idx="0">
                  <c:v>15/9-F-1 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'Monthly Pivot'!$A$162:$A$275</c:f>
              <c:multiLvlStrCache>
                <c:ptCount val="104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Apr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Aug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Dec</c:v>
                  </c:pt>
                  <c:pt idx="23">
                    <c:v>Jan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Apr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Aug</c:v>
                  </c:pt>
                  <c:pt idx="31">
                    <c:v>Sept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Jan</c:v>
                  </c:pt>
                  <c:pt idx="36">
                    <c:v>Feb</c:v>
                  </c:pt>
                  <c:pt idx="37">
                    <c:v>Mar</c:v>
                  </c:pt>
                  <c:pt idx="38">
                    <c:v>Apr</c:v>
                  </c:pt>
                  <c:pt idx="39">
                    <c:v>May</c:v>
                  </c:pt>
                  <c:pt idx="40">
                    <c:v>Jun</c:v>
                  </c:pt>
                  <c:pt idx="41">
                    <c:v>Jul</c:v>
                  </c:pt>
                  <c:pt idx="42">
                    <c:v>Aug</c:v>
                  </c:pt>
                  <c:pt idx="43">
                    <c:v>Sept</c:v>
                  </c:pt>
                  <c:pt idx="44">
                    <c:v>Oct</c:v>
                  </c:pt>
                  <c:pt idx="45">
                    <c:v>Nov</c:v>
                  </c:pt>
                  <c:pt idx="46">
                    <c:v>Dec</c:v>
                  </c:pt>
                  <c:pt idx="47">
                    <c:v>Jan</c:v>
                  </c:pt>
                  <c:pt idx="48">
                    <c:v>Feb</c:v>
                  </c:pt>
                  <c:pt idx="49">
                    <c:v>Mar</c:v>
                  </c:pt>
                  <c:pt idx="50">
                    <c:v>Apr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Jul</c:v>
                  </c:pt>
                  <c:pt idx="54">
                    <c:v>Aug</c:v>
                  </c:pt>
                  <c:pt idx="55">
                    <c:v>Sept</c:v>
                  </c:pt>
                  <c:pt idx="56">
                    <c:v>Oct</c:v>
                  </c:pt>
                  <c:pt idx="57">
                    <c:v>Nov</c:v>
                  </c:pt>
                  <c:pt idx="58">
                    <c:v>Dec</c:v>
                  </c:pt>
                  <c:pt idx="59">
                    <c:v>Jan</c:v>
                  </c:pt>
                  <c:pt idx="60">
                    <c:v>Feb</c:v>
                  </c:pt>
                  <c:pt idx="61">
                    <c:v>Mar</c:v>
                  </c:pt>
                  <c:pt idx="62">
                    <c:v>Apr</c:v>
                  </c:pt>
                  <c:pt idx="63">
                    <c:v>May</c:v>
                  </c:pt>
                  <c:pt idx="64">
                    <c:v>Jun</c:v>
                  </c:pt>
                  <c:pt idx="65">
                    <c:v>Jul</c:v>
                  </c:pt>
                  <c:pt idx="66">
                    <c:v>Aug</c:v>
                  </c:pt>
                  <c:pt idx="67">
                    <c:v>Sept</c:v>
                  </c:pt>
                  <c:pt idx="68">
                    <c:v>Oct</c:v>
                  </c:pt>
                  <c:pt idx="69">
                    <c:v>Nov</c:v>
                  </c:pt>
                  <c:pt idx="70">
                    <c:v>Dec</c:v>
                  </c:pt>
                  <c:pt idx="71">
                    <c:v>Jan</c:v>
                  </c:pt>
                  <c:pt idx="72">
                    <c:v>Feb</c:v>
                  </c:pt>
                  <c:pt idx="73">
                    <c:v>Mar</c:v>
                  </c:pt>
                  <c:pt idx="74">
                    <c:v>Apr</c:v>
                  </c:pt>
                  <c:pt idx="75">
                    <c:v>May</c:v>
                  </c:pt>
                  <c:pt idx="76">
                    <c:v>Jun</c:v>
                  </c:pt>
                  <c:pt idx="77">
                    <c:v>Jul</c:v>
                  </c:pt>
                  <c:pt idx="78">
                    <c:v>Aug</c:v>
                  </c:pt>
                  <c:pt idx="79">
                    <c:v>Sept</c:v>
                  </c:pt>
                  <c:pt idx="80">
                    <c:v>Oct</c:v>
                  </c:pt>
                  <c:pt idx="81">
                    <c:v>Nov</c:v>
                  </c:pt>
                  <c:pt idx="82">
                    <c:v>Dec</c:v>
                  </c:pt>
                  <c:pt idx="83">
                    <c:v>Jan</c:v>
                  </c:pt>
                  <c:pt idx="84">
                    <c:v>Feb</c:v>
                  </c:pt>
                  <c:pt idx="85">
                    <c:v>Mar</c:v>
                  </c:pt>
                  <c:pt idx="86">
                    <c:v>Apr</c:v>
                  </c:pt>
                  <c:pt idx="87">
                    <c:v>May</c:v>
                  </c:pt>
                  <c:pt idx="88">
                    <c:v>Jun</c:v>
                  </c:pt>
                  <c:pt idx="89">
                    <c:v>Jul</c:v>
                  </c:pt>
                  <c:pt idx="90">
                    <c:v>Aug</c:v>
                  </c:pt>
                  <c:pt idx="91">
                    <c:v>Sept</c:v>
                  </c:pt>
                  <c:pt idx="92">
                    <c:v>Oct</c:v>
                  </c:pt>
                  <c:pt idx="93">
                    <c:v>Nov</c:v>
                  </c:pt>
                  <c:pt idx="94">
                    <c:v>Dec</c:v>
                  </c:pt>
                  <c:pt idx="95">
                    <c:v>Jan</c:v>
                  </c:pt>
                  <c:pt idx="96">
                    <c:v>Feb</c:v>
                  </c:pt>
                  <c:pt idx="97">
                    <c:v>Mar</c:v>
                  </c:pt>
                  <c:pt idx="98">
                    <c:v>Apr</c:v>
                  </c:pt>
                  <c:pt idx="99">
                    <c:v>May</c:v>
                  </c:pt>
                  <c:pt idx="100">
                    <c:v>Jun</c:v>
                  </c:pt>
                  <c:pt idx="101">
                    <c:v>Jul</c:v>
                  </c:pt>
                  <c:pt idx="102">
                    <c:v>Aug</c:v>
                  </c:pt>
                  <c:pt idx="103">
                    <c:v>Sept</c:v>
                  </c:pt>
                </c:lvl>
                <c:lvl>
                  <c:pt idx="0">
                    <c:v>2008</c:v>
                  </c:pt>
                  <c:pt idx="11">
                    <c:v>2009</c:v>
                  </c:pt>
                  <c:pt idx="23">
                    <c:v>2010</c:v>
                  </c:pt>
                  <c:pt idx="35">
                    <c:v>2011</c:v>
                  </c:pt>
                  <c:pt idx="47">
                    <c:v>2012</c:v>
                  </c:pt>
                  <c:pt idx="59">
                    <c:v>2013</c:v>
                  </c:pt>
                  <c:pt idx="71">
                    <c:v>2014</c:v>
                  </c:pt>
                  <c:pt idx="83">
                    <c:v>2015</c:v>
                  </c:pt>
                  <c:pt idx="95">
                    <c:v>2016</c:v>
                  </c:pt>
                </c:lvl>
              </c:multiLvlStrCache>
            </c:multiLvlStrRef>
          </c:cat>
          <c:val>
            <c:numRef>
              <c:f>'Monthly Pivot'!$B$162:$B$275</c:f>
              <c:numCache>
                <c:formatCode>General</c:formatCode>
                <c:ptCount val="104"/>
                <c:pt idx="74">
                  <c:v>1175.4693626373626</c:v>
                </c:pt>
                <c:pt idx="75">
                  <c:v>814.41761694828415</c:v>
                </c:pt>
                <c:pt idx="76">
                  <c:v>666.9714240771707</c:v>
                </c:pt>
                <c:pt idx="77">
                  <c:v>487.67267695743789</c:v>
                </c:pt>
                <c:pt idx="78">
                  <c:v>386.35921994432869</c:v>
                </c:pt>
                <c:pt idx="79">
                  <c:v>349.10728224654929</c:v>
                </c:pt>
                <c:pt idx="80">
                  <c:v>305.01132885906037</c:v>
                </c:pt>
                <c:pt idx="81">
                  <c:v>277.77658574446986</c:v>
                </c:pt>
                <c:pt idx="82">
                  <c:v>104.98036363636365</c:v>
                </c:pt>
                <c:pt idx="83">
                  <c:v>543.87091825753828</c:v>
                </c:pt>
                <c:pt idx="84">
                  <c:v>525.99586568111363</c:v>
                </c:pt>
                <c:pt idx="85">
                  <c:v>440.65462007187637</c:v>
                </c:pt>
                <c:pt idx="86">
                  <c:v>358.32715736622902</c:v>
                </c:pt>
                <c:pt idx="87">
                  <c:v>507.9681271600208</c:v>
                </c:pt>
                <c:pt idx="88">
                  <c:v>326.44023089641405</c:v>
                </c:pt>
                <c:pt idx="89">
                  <c:v>207.95089368343591</c:v>
                </c:pt>
                <c:pt idx="90">
                  <c:v>466.22708844145274</c:v>
                </c:pt>
                <c:pt idx="91">
                  <c:v>403.27664183227267</c:v>
                </c:pt>
                <c:pt idx="92">
                  <c:v>266.61021567544913</c:v>
                </c:pt>
                <c:pt idx="93">
                  <c:v>265.45058521701293</c:v>
                </c:pt>
                <c:pt idx="94">
                  <c:v>358.12343451449783</c:v>
                </c:pt>
                <c:pt idx="95">
                  <c:v>184.56960260402215</c:v>
                </c:pt>
                <c:pt idx="96">
                  <c:v>233.71851068061537</c:v>
                </c:pt>
                <c:pt idx="97">
                  <c:v>196.26731630905437</c:v>
                </c:pt>
                <c:pt idx="98">
                  <c:v>284.89659399230203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56-47CD-8B15-8215A22815A8}"/>
            </c:ext>
          </c:extLst>
        </c:ser>
        <c:ser>
          <c:idx val="1"/>
          <c:order val="1"/>
          <c:tx>
            <c:strRef>
              <c:f>'Monthly Pivot'!$C$160:$C$161</c:f>
              <c:strCache>
                <c:ptCount val="1"/>
                <c:pt idx="0">
                  <c:v>15/9-F-11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'Monthly Pivot'!$A$162:$A$275</c:f>
              <c:multiLvlStrCache>
                <c:ptCount val="104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Apr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Aug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Dec</c:v>
                  </c:pt>
                  <c:pt idx="23">
                    <c:v>Jan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Apr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Aug</c:v>
                  </c:pt>
                  <c:pt idx="31">
                    <c:v>Sept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Jan</c:v>
                  </c:pt>
                  <c:pt idx="36">
                    <c:v>Feb</c:v>
                  </c:pt>
                  <c:pt idx="37">
                    <c:v>Mar</c:v>
                  </c:pt>
                  <c:pt idx="38">
                    <c:v>Apr</c:v>
                  </c:pt>
                  <c:pt idx="39">
                    <c:v>May</c:v>
                  </c:pt>
                  <c:pt idx="40">
                    <c:v>Jun</c:v>
                  </c:pt>
                  <c:pt idx="41">
                    <c:v>Jul</c:v>
                  </c:pt>
                  <c:pt idx="42">
                    <c:v>Aug</c:v>
                  </c:pt>
                  <c:pt idx="43">
                    <c:v>Sept</c:v>
                  </c:pt>
                  <c:pt idx="44">
                    <c:v>Oct</c:v>
                  </c:pt>
                  <c:pt idx="45">
                    <c:v>Nov</c:v>
                  </c:pt>
                  <c:pt idx="46">
                    <c:v>Dec</c:v>
                  </c:pt>
                  <c:pt idx="47">
                    <c:v>Jan</c:v>
                  </c:pt>
                  <c:pt idx="48">
                    <c:v>Feb</c:v>
                  </c:pt>
                  <c:pt idx="49">
                    <c:v>Mar</c:v>
                  </c:pt>
                  <c:pt idx="50">
                    <c:v>Apr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Jul</c:v>
                  </c:pt>
                  <c:pt idx="54">
                    <c:v>Aug</c:v>
                  </c:pt>
                  <c:pt idx="55">
                    <c:v>Sept</c:v>
                  </c:pt>
                  <c:pt idx="56">
                    <c:v>Oct</c:v>
                  </c:pt>
                  <c:pt idx="57">
                    <c:v>Nov</c:v>
                  </c:pt>
                  <c:pt idx="58">
                    <c:v>Dec</c:v>
                  </c:pt>
                  <c:pt idx="59">
                    <c:v>Jan</c:v>
                  </c:pt>
                  <c:pt idx="60">
                    <c:v>Feb</c:v>
                  </c:pt>
                  <c:pt idx="61">
                    <c:v>Mar</c:v>
                  </c:pt>
                  <c:pt idx="62">
                    <c:v>Apr</c:v>
                  </c:pt>
                  <c:pt idx="63">
                    <c:v>May</c:v>
                  </c:pt>
                  <c:pt idx="64">
                    <c:v>Jun</c:v>
                  </c:pt>
                  <c:pt idx="65">
                    <c:v>Jul</c:v>
                  </c:pt>
                  <c:pt idx="66">
                    <c:v>Aug</c:v>
                  </c:pt>
                  <c:pt idx="67">
                    <c:v>Sept</c:v>
                  </c:pt>
                  <c:pt idx="68">
                    <c:v>Oct</c:v>
                  </c:pt>
                  <c:pt idx="69">
                    <c:v>Nov</c:v>
                  </c:pt>
                  <c:pt idx="70">
                    <c:v>Dec</c:v>
                  </c:pt>
                  <c:pt idx="71">
                    <c:v>Jan</c:v>
                  </c:pt>
                  <c:pt idx="72">
                    <c:v>Feb</c:v>
                  </c:pt>
                  <c:pt idx="73">
                    <c:v>Mar</c:v>
                  </c:pt>
                  <c:pt idx="74">
                    <c:v>Apr</c:v>
                  </c:pt>
                  <c:pt idx="75">
                    <c:v>May</c:v>
                  </c:pt>
                  <c:pt idx="76">
                    <c:v>Jun</c:v>
                  </c:pt>
                  <c:pt idx="77">
                    <c:v>Jul</c:v>
                  </c:pt>
                  <c:pt idx="78">
                    <c:v>Aug</c:v>
                  </c:pt>
                  <c:pt idx="79">
                    <c:v>Sept</c:v>
                  </c:pt>
                  <c:pt idx="80">
                    <c:v>Oct</c:v>
                  </c:pt>
                  <c:pt idx="81">
                    <c:v>Nov</c:v>
                  </c:pt>
                  <c:pt idx="82">
                    <c:v>Dec</c:v>
                  </c:pt>
                  <c:pt idx="83">
                    <c:v>Jan</c:v>
                  </c:pt>
                  <c:pt idx="84">
                    <c:v>Feb</c:v>
                  </c:pt>
                  <c:pt idx="85">
                    <c:v>Mar</c:v>
                  </c:pt>
                  <c:pt idx="86">
                    <c:v>Apr</c:v>
                  </c:pt>
                  <c:pt idx="87">
                    <c:v>May</c:v>
                  </c:pt>
                  <c:pt idx="88">
                    <c:v>Jun</c:v>
                  </c:pt>
                  <c:pt idx="89">
                    <c:v>Jul</c:v>
                  </c:pt>
                  <c:pt idx="90">
                    <c:v>Aug</c:v>
                  </c:pt>
                  <c:pt idx="91">
                    <c:v>Sept</c:v>
                  </c:pt>
                  <c:pt idx="92">
                    <c:v>Oct</c:v>
                  </c:pt>
                  <c:pt idx="93">
                    <c:v>Nov</c:v>
                  </c:pt>
                  <c:pt idx="94">
                    <c:v>Dec</c:v>
                  </c:pt>
                  <c:pt idx="95">
                    <c:v>Jan</c:v>
                  </c:pt>
                  <c:pt idx="96">
                    <c:v>Feb</c:v>
                  </c:pt>
                  <c:pt idx="97">
                    <c:v>Mar</c:v>
                  </c:pt>
                  <c:pt idx="98">
                    <c:v>Apr</c:v>
                  </c:pt>
                  <c:pt idx="99">
                    <c:v>May</c:v>
                  </c:pt>
                  <c:pt idx="100">
                    <c:v>Jun</c:v>
                  </c:pt>
                  <c:pt idx="101">
                    <c:v>Jul</c:v>
                  </c:pt>
                  <c:pt idx="102">
                    <c:v>Aug</c:v>
                  </c:pt>
                  <c:pt idx="103">
                    <c:v>Sept</c:v>
                  </c:pt>
                </c:lvl>
                <c:lvl>
                  <c:pt idx="0">
                    <c:v>2008</c:v>
                  </c:pt>
                  <c:pt idx="11">
                    <c:v>2009</c:v>
                  </c:pt>
                  <c:pt idx="23">
                    <c:v>2010</c:v>
                  </c:pt>
                  <c:pt idx="35">
                    <c:v>2011</c:v>
                  </c:pt>
                  <c:pt idx="47">
                    <c:v>2012</c:v>
                  </c:pt>
                  <c:pt idx="59">
                    <c:v>2013</c:v>
                  </c:pt>
                  <c:pt idx="71">
                    <c:v>2014</c:v>
                  </c:pt>
                  <c:pt idx="83">
                    <c:v>2015</c:v>
                  </c:pt>
                  <c:pt idx="95">
                    <c:v>2016</c:v>
                  </c:pt>
                </c:lvl>
              </c:multiLvlStrCache>
            </c:multiLvlStrRef>
          </c:cat>
          <c:val>
            <c:numRef>
              <c:f>'Monthly Pivot'!$C$162:$C$275</c:f>
              <c:numCache>
                <c:formatCode>General</c:formatCode>
                <c:ptCount val="104"/>
                <c:pt idx="65">
                  <c:v>833.8467277284517</c:v>
                </c:pt>
                <c:pt idx="66">
                  <c:v>1042.932153265732</c:v>
                </c:pt>
                <c:pt idx="67">
                  <c:v>1058.7943401342552</c:v>
                </c:pt>
                <c:pt idx="68">
                  <c:v>1206.7031814344678</c:v>
                </c:pt>
                <c:pt idx="69">
                  <c:v>1192.7983146067415</c:v>
                </c:pt>
                <c:pt idx="70">
                  <c:v>1210.9321281074356</c:v>
                </c:pt>
                <c:pt idx="71">
                  <c:v>1241.2476748970821</c:v>
                </c:pt>
                <c:pt idx="72">
                  <c:v>1202.4157962371539</c:v>
                </c:pt>
                <c:pt idx="73">
                  <c:v>1218.8847783201338</c:v>
                </c:pt>
                <c:pt idx="74">
                  <c:v>1229.6005802317038</c:v>
                </c:pt>
                <c:pt idx="75">
                  <c:v>1142.8094600136703</c:v>
                </c:pt>
                <c:pt idx="76">
                  <c:v>1146.9464715551994</c:v>
                </c:pt>
                <c:pt idx="77">
                  <c:v>1090.9980920511757</c:v>
                </c:pt>
                <c:pt idx="78">
                  <c:v>1043.0371418963475</c:v>
                </c:pt>
                <c:pt idx="79">
                  <c:v>1154.4199172083981</c:v>
                </c:pt>
                <c:pt idx="80">
                  <c:v>1090.5252080536914</c:v>
                </c:pt>
                <c:pt idx="81">
                  <c:v>922.41992290463406</c:v>
                </c:pt>
                <c:pt idx="82">
                  <c:v>279.55002751212697</c:v>
                </c:pt>
                <c:pt idx="83">
                  <c:v>1001.623345889992</c:v>
                </c:pt>
                <c:pt idx="84">
                  <c:v>962.2988823501247</c:v>
                </c:pt>
                <c:pt idx="85">
                  <c:v>1429.8748349983189</c:v>
                </c:pt>
                <c:pt idx="86">
                  <c:v>1818.5253333333335</c:v>
                </c:pt>
                <c:pt idx="87">
                  <c:v>1775.1361290322582</c:v>
                </c:pt>
                <c:pt idx="88">
                  <c:v>1610.3499658682094</c:v>
                </c:pt>
                <c:pt idx="89">
                  <c:v>1412.4083870967743</c:v>
                </c:pt>
                <c:pt idx="90">
                  <c:v>1196.1004644797345</c:v>
                </c:pt>
                <c:pt idx="91">
                  <c:v>1049.345160840332</c:v>
                </c:pt>
                <c:pt idx="92">
                  <c:v>1137.9869837508325</c:v>
                </c:pt>
                <c:pt idx="93">
                  <c:v>1301.7054163795408</c:v>
                </c:pt>
                <c:pt idx="94">
                  <c:v>1165.1613548067492</c:v>
                </c:pt>
                <c:pt idx="95">
                  <c:v>1029.841480378024</c:v>
                </c:pt>
                <c:pt idx="96">
                  <c:v>895.52128858522235</c:v>
                </c:pt>
                <c:pt idx="97">
                  <c:v>808.30126514131905</c:v>
                </c:pt>
                <c:pt idx="98">
                  <c:v>556.56239589149277</c:v>
                </c:pt>
                <c:pt idx="99">
                  <c:v>500.92741935483872</c:v>
                </c:pt>
                <c:pt idx="100">
                  <c:v>487.42554929857073</c:v>
                </c:pt>
                <c:pt idx="101">
                  <c:v>466.5360118900378</c:v>
                </c:pt>
                <c:pt idx="102">
                  <c:v>470.6537675004314</c:v>
                </c:pt>
                <c:pt idx="103">
                  <c:v>526.72295267041386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56-47CD-8B15-8215A22815A8}"/>
            </c:ext>
          </c:extLst>
        </c:ser>
        <c:ser>
          <c:idx val="2"/>
          <c:order val="2"/>
          <c:tx>
            <c:strRef>
              <c:f>'Monthly Pivot'!$D$160:$D$161</c:f>
              <c:strCache>
                <c:ptCount val="1"/>
                <c:pt idx="0">
                  <c:v>15/9-F-12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'Monthly Pivot'!$A$162:$A$275</c:f>
              <c:multiLvlStrCache>
                <c:ptCount val="104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Apr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Aug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Dec</c:v>
                  </c:pt>
                  <c:pt idx="23">
                    <c:v>Jan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Apr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Aug</c:v>
                  </c:pt>
                  <c:pt idx="31">
                    <c:v>Sept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Jan</c:v>
                  </c:pt>
                  <c:pt idx="36">
                    <c:v>Feb</c:v>
                  </c:pt>
                  <c:pt idx="37">
                    <c:v>Mar</c:v>
                  </c:pt>
                  <c:pt idx="38">
                    <c:v>Apr</c:v>
                  </c:pt>
                  <c:pt idx="39">
                    <c:v>May</c:v>
                  </c:pt>
                  <c:pt idx="40">
                    <c:v>Jun</c:v>
                  </c:pt>
                  <c:pt idx="41">
                    <c:v>Jul</c:v>
                  </c:pt>
                  <c:pt idx="42">
                    <c:v>Aug</c:v>
                  </c:pt>
                  <c:pt idx="43">
                    <c:v>Sept</c:v>
                  </c:pt>
                  <c:pt idx="44">
                    <c:v>Oct</c:v>
                  </c:pt>
                  <c:pt idx="45">
                    <c:v>Nov</c:v>
                  </c:pt>
                  <c:pt idx="46">
                    <c:v>Dec</c:v>
                  </c:pt>
                  <c:pt idx="47">
                    <c:v>Jan</c:v>
                  </c:pt>
                  <c:pt idx="48">
                    <c:v>Feb</c:v>
                  </c:pt>
                  <c:pt idx="49">
                    <c:v>Mar</c:v>
                  </c:pt>
                  <c:pt idx="50">
                    <c:v>Apr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Jul</c:v>
                  </c:pt>
                  <c:pt idx="54">
                    <c:v>Aug</c:v>
                  </c:pt>
                  <c:pt idx="55">
                    <c:v>Sept</c:v>
                  </c:pt>
                  <c:pt idx="56">
                    <c:v>Oct</c:v>
                  </c:pt>
                  <c:pt idx="57">
                    <c:v>Nov</c:v>
                  </c:pt>
                  <c:pt idx="58">
                    <c:v>Dec</c:v>
                  </c:pt>
                  <c:pt idx="59">
                    <c:v>Jan</c:v>
                  </c:pt>
                  <c:pt idx="60">
                    <c:v>Feb</c:v>
                  </c:pt>
                  <c:pt idx="61">
                    <c:v>Mar</c:v>
                  </c:pt>
                  <c:pt idx="62">
                    <c:v>Apr</c:v>
                  </c:pt>
                  <c:pt idx="63">
                    <c:v>May</c:v>
                  </c:pt>
                  <c:pt idx="64">
                    <c:v>Jun</c:v>
                  </c:pt>
                  <c:pt idx="65">
                    <c:v>Jul</c:v>
                  </c:pt>
                  <c:pt idx="66">
                    <c:v>Aug</c:v>
                  </c:pt>
                  <c:pt idx="67">
                    <c:v>Sept</c:v>
                  </c:pt>
                  <c:pt idx="68">
                    <c:v>Oct</c:v>
                  </c:pt>
                  <c:pt idx="69">
                    <c:v>Nov</c:v>
                  </c:pt>
                  <c:pt idx="70">
                    <c:v>Dec</c:v>
                  </c:pt>
                  <c:pt idx="71">
                    <c:v>Jan</c:v>
                  </c:pt>
                  <c:pt idx="72">
                    <c:v>Feb</c:v>
                  </c:pt>
                  <c:pt idx="73">
                    <c:v>Mar</c:v>
                  </c:pt>
                  <c:pt idx="74">
                    <c:v>Apr</c:v>
                  </c:pt>
                  <c:pt idx="75">
                    <c:v>May</c:v>
                  </c:pt>
                  <c:pt idx="76">
                    <c:v>Jun</c:v>
                  </c:pt>
                  <c:pt idx="77">
                    <c:v>Jul</c:v>
                  </c:pt>
                  <c:pt idx="78">
                    <c:v>Aug</c:v>
                  </c:pt>
                  <c:pt idx="79">
                    <c:v>Sept</c:v>
                  </c:pt>
                  <c:pt idx="80">
                    <c:v>Oct</c:v>
                  </c:pt>
                  <c:pt idx="81">
                    <c:v>Nov</c:v>
                  </c:pt>
                  <c:pt idx="82">
                    <c:v>Dec</c:v>
                  </c:pt>
                  <c:pt idx="83">
                    <c:v>Jan</c:v>
                  </c:pt>
                  <c:pt idx="84">
                    <c:v>Feb</c:v>
                  </c:pt>
                  <c:pt idx="85">
                    <c:v>Mar</c:v>
                  </c:pt>
                  <c:pt idx="86">
                    <c:v>Apr</c:v>
                  </c:pt>
                  <c:pt idx="87">
                    <c:v>May</c:v>
                  </c:pt>
                  <c:pt idx="88">
                    <c:v>Jun</c:v>
                  </c:pt>
                  <c:pt idx="89">
                    <c:v>Jul</c:v>
                  </c:pt>
                  <c:pt idx="90">
                    <c:v>Aug</c:v>
                  </c:pt>
                  <c:pt idx="91">
                    <c:v>Sept</c:v>
                  </c:pt>
                  <c:pt idx="92">
                    <c:v>Oct</c:v>
                  </c:pt>
                  <c:pt idx="93">
                    <c:v>Nov</c:v>
                  </c:pt>
                  <c:pt idx="94">
                    <c:v>Dec</c:v>
                  </c:pt>
                  <c:pt idx="95">
                    <c:v>Jan</c:v>
                  </c:pt>
                  <c:pt idx="96">
                    <c:v>Feb</c:v>
                  </c:pt>
                  <c:pt idx="97">
                    <c:v>Mar</c:v>
                  </c:pt>
                  <c:pt idx="98">
                    <c:v>Apr</c:v>
                  </c:pt>
                  <c:pt idx="99">
                    <c:v>May</c:v>
                  </c:pt>
                  <c:pt idx="100">
                    <c:v>Jun</c:v>
                  </c:pt>
                  <c:pt idx="101">
                    <c:v>Jul</c:v>
                  </c:pt>
                  <c:pt idx="102">
                    <c:v>Aug</c:v>
                  </c:pt>
                  <c:pt idx="103">
                    <c:v>Sept</c:v>
                  </c:pt>
                </c:lvl>
                <c:lvl>
                  <c:pt idx="0">
                    <c:v>2008</c:v>
                  </c:pt>
                  <c:pt idx="11">
                    <c:v>2009</c:v>
                  </c:pt>
                  <c:pt idx="23">
                    <c:v>2010</c:v>
                  </c:pt>
                  <c:pt idx="35">
                    <c:v>2011</c:v>
                  </c:pt>
                  <c:pt idx="47">
                    <c:v>2012</c:v>
                  </c:pt>
                  <c:pt idx="59">
                    <c:v>2013</c:v>
                  </c:pt>
                  <c:pt idx="71">
                    <c:v>2014</c:v>
                  </c:pt>
                  <c:pt idx="83">
                    <c:v>2015</c:v>
                  </c:pt>
                  <c:pt idx="95">
                    <c:v>2016</c:v>
                  </c:pt>
                </c:lvl>
              </c:multiLvlStrCache>
            </c:multiLvlStrRef>
          </c:cat>
          <c:val>
            <c:numRef>
              <c:f>'Monthly Pivot'!$D$162:$D$275</c:f>
              <c:numCache>
                <c:formatCode>General</c:formatCode>
                <c:ptCount val="104"/>
                <c:pt idx="0">
                  <c:v>2897.4742550869782</c:v>
                </c:pt>
                <c:pt idx="1">
                  <c:v>3053.9532438252882</c:v>
                </c:pt>
                <c:pt idx="2">
                  <c:v>2914.9980218257847</c:v>
                </c:pt>
                <c:pt idx="3">
                  <c:v>4204.8596292665616</c:v>
                </c:pt>
                <c:pt idx="4">
                  <c:v>5105.4877783828651</c:v>
                </c:pt>
                <c:pt idx="5">
                  <c:v>3883.085562806119</c:v>
                </c:pt>
                <c:pt idx="6">
                  <c:v>3489.3322022359953</c:v>
                </c:pt>
                <c:pt idx="7">
                  <c:v>3281.8466179294264</c:v>
                </c:pt>
                <c:pt idx="8">
                  <c:v>3070.6081210765001</c:v>
                </c:pt>
                <c:pt idx="9">
                  <c:v>4913.9009685972824</c:v>
                </c:pt>
                <c:pt idx="10">
                  <c:v>5369.021612903226</c:v>
                </c:pt>
                <c:pt idx="11">
                  <c:v>4978.5177588934584</c:v>
                </c:pt>
                <c:pt idx="12">
                  <c:v>4457.844067622239</c:v>
                </c:pt>
                <c:pt idx="13">
                  <c:v>4406.206077600973</c:v>
                </c:pt>
                <c:pt idx="14">
                  <c:v>5037.6866325020319</c:v>
                </c:pt>
                <c:pt idx="15">
                  <c:v>4869.2442183576532</c:v>
                </c:pt>
                <c:pt idx="16">
                  <c:v>4443.2252423702812</c:v>
                </c:pt>
                <c:pt idx="17">
                  <c:v>3431.2050611381546</c:v>
                </c:pt>
                <c:pt idx="18">
                  <c:v>4579.9643169375713</c:v>
                </c:pt>
                <c:pt idx="19">
                  <c:v>4383.9297719209326</c:v>
                </c:pt>
                <c:pt idx="20">
                  <c:v>4455.7056827574315</c:v>
                </c:pt>
                <c:pt idx="21">
                  <c:v>4625.4003170329388</c:v>
                </c:pt>
                <c:pt idx="22">
                  <c:v>5205.2662731640348</c:v>
                </c:pt>
                <c:pt idx="23">
                  <c:v>4839.6298480990781</c:v>
                </c:pt>
                <c:pt idx="24">
                  <c:v>4061.9721549139595</c:v>
                </c:pt>
                <c:pt idx="25">
                  <c:v>3763.8476558296211</c:v>
                </c:pt>
                <c:pt idx="26">
                  <c:v>2932.1340925231457</c:v>
                </c:pt>
                <c:pt idx="27">
                  <c:v>2524.2901999350302</c:v>
                </c:pt>
                <c:pt idx="28">
                  <c:v>2329.7469749953661</c:v>
                </c:pt>
                <c:pt idx="29">
                  <c:v>2070.4345031842436</c:v>
                </c:pt>
                <c:pt idx="30">
                  <c:v>1691.0628450274844</c:v>
                </c:pt>
                <c:pt idx="31">
                  <c:v>1910.0586880195222</c:v>
                </c:pt>
                <c:pt idx="32">
                  <c:v>1661.2838538185217</c:v>
                </c:pt>
                <c:pt idx="33">
                  <c:v>1545.9818519844607</c:v>
                </c:pt>
                <c:pt idx="34">
                  <c:v>1463.8907979491491</c:v>
                </c:pt>
                <c:pt idx="35">
                  <c:v>1444.407800941493</c:v>
                </c:pt>
                <c:pt idx="36">
                  <c:v>1255.7734814853923</c:v>
                </c:pt>
                <c:pt idx="37">
                  <c:v>1229.7070451728061</c:v>
                </c:pt>
                <c:pt idx="38">
                  <c:v>1264.3156482214015</c:v>
                </c:pt>
                <c:pt idx="39">
                  <c:v>1213.1283817124104</c:v>
                </c:pt>
                <c:pt idx="40">
                  <c:v>1141.0823921349663</c:v>
                </c:pt>
                <c:pt idx="41">
                  <c:v>1219.5804966827484</c:v>
                </c:pt>
                <c:pt idx="42">
                  <c:v>1340.1881081451456</c:v>
                </c:pt>
                <c:pt idx="43">
                  <c:v>1018.3593776520509</c:v>
                </c:pt>
                <c:pt idx="44">
                  <c:v>932.07164761120487</c:v>
                </c:pt>
                <c:pt idx="45">
                  <c:v>1138.4699399351241</c:v>
                </c:pt>
                <c:pt idx="46">
                  <c:v>1021.9930876405878</c:v>
                </c:pt>
                <c:pt idx="47">
                  <c:v>1094.0054447506336</c:v>
                </c:pt>
                <c:pt idx="48">
                  <c:v>953.44653036718989</c:v>
                </c:pt>
                <c:pt idx="49">
                  <c:v>864.80647261502736</c:v>
                </c:pt>
                <c:pt idx="50">
                  <c:v>813.91972399169492</c:v>
                </c:pt>
                <c:pt idx="51">
                  <c:v>729.2526429097403</c:v>
                </c:pt>
                <c:pt idx="52">
                  <c:v>704.72884063047013</c:v>
                </c:pt>
                <c:pt idx="53">
                  <c:v>684.09483870967733</c:v>
                </c:pt>
                <c:pt idx="54">
                  <c:v>748.22957124296238</c:v>
                </c:pt>
                <c:pt idx="55">
                  <c:v>901.54958976217085</c:v>
                </c:pt>
                <c:pt idx="56">
                  <c:v>771.43180235178431</c:v>
                </c:pt>
                <c:pt idx="57">
                  <c:v>633.96266666666668</c:v>
                </c:pt>
                <c:pt idx="58">
                  <c:v>559.36537749897002</c:v>
                </c:pt>
                <c:pt idx="59">
                  <c:v>561.56677419354833</c:v>
                </c:pt>
                <c:pt idx="60">
                  <c:v>538.83499999999992</c:v>
                </c:pt>
                <c:pt idx="61">
                  <c:v>491.7316866228569</c:v>
                </c:pt>
                <c:pt idx="62">
                  <c:v>577.31634786999314</c:v>
                </c:pt>
                <c:pt idx="63">
                  <c:v>534.82294867373548</c:v>
                </c:pt>
                <c:pt idx="64">
                  <c:v>503.97437684739936</c:v>
                </c:pt>
                <c:pt idx="65">
                  <c:v>489.74946453915959</c:v>
                </c:pt>
                <c:pt idx="66">
                  <c:v>528.40778000015553</c:v>
                </c:pt>
                <c:pt idx="67">
                  <c:v>375.20397976219738</c:v>
                </c:pt>
                <c:pt idx="68">
                  <c:v>293.11799999999999</c:v>
                </c:pt>
                <c:pt idx="69">
                  <c:v>265.31357444241905</c:v>
                </c:pt>
                <c:pt idx="70">
                  <c:v>268.24831070413643</c:v>
                </c:pt>
                <c:pt idx="71">
                  <c:v>246.70536375321697</c:v>
                </c:pt>
                <c:pt idx="72">
                  <c:v>260.60437800320341</c:v>
                </c:pt>
                <c:pt idx="73">
                  <c:v>249.80931875426683</c:v>
                </c:pt>
                <c:pt idx="74">
                  <c:v>204.04689728769512</c:v>
                </c:pt>
                <c:pt idx="75">
                  <c:v>181.83792810797107</c:v>
                </c:pt>
                <c:pt idx="76">
                  <c:v>195.13968046719924</c:v>
                </c:pt>
                <c:pt idx="77">
                  <c:v>187.04304917226713</c:v>
                </c:pt>
                <c:pt idx="78">
                  <c:v>179.92881500959285</c:v>
                </c:pt>
                <c:pt idx="79">
                  <c:v>177.1598939351635</c:v>
                </c:pt>
                <c:pt idx="80">
                  <c:v>173.49616107382548</c:v>
                </c:pt>
                <c:pt idx="81">
                  <c:v>185.70098440347721</c:v>
                </c:pt>
                <c:pt idx="83">
                  <c:v>862.37503604227334</c:v>
                </c:pt>
                <c:pt idx="84">
                  <c:v>754.47610781984611</c:v>
                </c:pt>
                <c:pt idx="85">
                  <c:v>697.90538620560039</c:v>
                </c:pt>
                <c:pt idx="86">
                  <c:v>659.88533333333339</c:v>
                </c:pt>
                <c:pt idx="87">
                  <c:v>548.27354838709675</c:v>
                </c:pt>
                <c:pt idx="88">
                  <c:v>661.01815991438627</c:v>
                </c:pt>
                <c:pt idx="89">
                  <c:v>617.98225806451615</c:v>
                </c:pt>
                <c:pt idx="90">
                  <c:v>507.87960790492195</c:v>
                </c:pt>
                <c:pt idx="91">
                  <c:v>416.87456763276612</c:v>
                </c:pt>
                <c:pt idx="92">
                  <c:v>386.27317515219687</c:v>
                </c:pt>
                <c:pt idx="93">
                  <c:v>379.24602669567719</c:v>
                </c:pt>
                <c:pt idx="94">
                  <c:v>356.25790012526977</c:v>
                </c:pt>
                <c:pt idx="95">
                  <c:v>309.40872110534582</c:v>
                </c:pt>
                <c:pt idx="96">
                  <c:v>263.74824135017724</c:v>
                </c:pt>
                <c:pt idx="97">
                  <c:v>237.73663526244954</c:v>
                </c:pt>
                <c:pt idx="98">
                  <c:v>205.40516673037405</c:v>
                </c:pt>
                <c:pt idx="99">
                  <c:v>190.09199189736665</c:v>
                </c:pt>
                <c:pt idx="100">
                  <c:v>184.5686491904049</c:v>
                </c:pt>
                <c:pt idx="101">
                  <c:v>154.62224050774995</c:v>
                </c:pt>
                <c:pt idx="102">
                  <c:v>121.05536338292055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56-47CD-8B15-8215A22815A8}"/>
            </c:ext>
          </c:extLst>
        </c:ser>
        <c:ser>
          <c:idx val="3"/>
          <c:order val="3"/>
          <c:tx>
            <c:strRef>
              <c:f>'Monthly Pivot'!$E$160:$E$161</c:f>
              <c:strCache>
                <c:ptCount val="1"/>
                <c:pt idx="0">
                  <c:v>15/9-F-14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'Monthly Pivot'!$A$162:$A$275</c:f>
              <c:multiLvlStrCache>
                <c:ptCount val="104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Apr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Aug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Dec</c:v>
                  </c:pt>
                  <c:pt idx="23">
                    <c:v>Jan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Apr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Aug</c:v>
                  </c:pt>
                  <c:pt idx="31">
                    <c:v>Sept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Jan</c:v>
                  </c:pt>
                  <c:pt idx="36">
                    <c:v>Feb</c:v>
                  </c:pt>
                  <c:pt idx="37">
                    <c:v>Mar</c:v>
                  </c:pt>
                  <c:pt idx="38">
                    <c:v>Apr</c:v>
                  </c:pt>
                  <c:pt idx="39">
                    <c:v>May</c:v>
                  </c:pt>
                  <c:pt idx="40">
                    <c:v>Jun</c:v>
                  </c:pt>
                  <c:pt idx="41">
                    <c:v>Jul</c:v>
                  </c:pt>
                  <c:pt idx="42">
                    <c:v>Aug</c:v>
                  </c:pt>
                  <c:pt idx="43">
                    <c:v>Sept</c:v>
                  </c:pt>
                  <c:pt idx="44">
                    <c:v>Oct</c:v>
                  </c:pt>
                  <c:pt idx="45">
                    <c:v>Nov</c:v>
                  </c:pt>
                  <c:pt idx="46">
                    <c:v>Dec</c:v>
                  </c:pt>
                  <c:pt idx="47">
                    <c:v>Jan</c:v>
                  </c:pt>
                  <c:pt idx="48">
                    <c:v>Feb</c:v>
                  </c:pt>
                  <c:pt idx="49">
                    <c:v>Mar</c:v>
                  </c:pt>
                  <c:pt idx="50">
                    <c:v>Apr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Jul</c:v>
                  </c:pt>
                  <c:pt idx="54">
                    <c:v>Aug</c:v>
                  </c:pt>
                  <c:pt idx="55">
                    <c:v>Sept</c:v>
                  </c:pt>
                  <c:pt idx="56">
                    <c:v>Oct</c:v>
                  </c:pt>
                  <c:pt idx="57">
                    <c:v>Nov</c:v>
                  </c:pt>
                  <c:pt idx="58">
                    <c:v>Dec</c:v>
                  </c:pt>
                  <c:pt idx="59">
                    <c:v>Jan</c:v>
                  </c:pt>
                  <c:pt idx="60">
                    <c:v>Feb</c:v>
                  </c:pt>
                  <c:pt idx="61">
                    <c:v>Mar</c:v>
                  </c:pt>
                  <c:pt idx="62">
                    <c:v>Apr</c:v>
                  </c:pt>
                  <c:pt idx="63">
                    <c:v>May</c:v>
                  </c:pt>
                  <c:pt idx="64">
                    <c:v>Jun</c:v>
                  </c:pt>
                  <c:pt idx="65">
                    <c:v>Jul</c:v>
                  </c:pt>
                  <c:pt idx="66">
                    <c:v>Aug</c:v>
                  </c:pt>
                  <c:pt idx="67">
                    <c:v>Sept</c:v>
                  </c:pt>
                  <c:pt idx="68">
                    <c:v>Oct</c:v>
                  </c:pt>
                  <c:pt idx="69">
                    <c:v>Nov</c:v>
                  </c:pt>
                  <c:pt idx="70">
                    <c:v>Dec</c:v>
                  </c:pt>
                  <c:pt idx="71">
                    <c:v>Jan</c:v>
                  </c:pt>
                  <c:pt idx="72">
                    <c:v>Feb</c:v>
                  </c:pt>
                  <c:pt idx="73">
                    <c:v>Mar</c:v>
                  </c:pt>
                  <c:pt idx="74">
                    <c:v>Apr</c:v>
                  </c:pt>
                  <c:pt idx="75">
                    <c:v>May</c:v>
                  </c:pt>
                  <c:pt idx="76">
                    <c:v>Jun</c:v>
                  </c:pt>
                  <c:pt idx="77">
                    <c:v>Jul</c:v>
                  </c:pt>
                  <c:pt idx="78">
                    <c:v>Aug</c:v>
                  </c:pt>
                  <c:pt idx="79">
                    <c:v>Sept</c:v>
                  </c:pt>
                  <c:pt idx="80">
                    <c:v>Oct</c:v>
                  </c:pt>
                  <c:pt idx="81">
                    <c:v>Nov</c:v>
                  </c:pt>
                  <c:pt idx="82">
                    <c:v>Dec</c:v>
                  </c:pt>
                  <c:pt idx="83">
                    <c:v>Jan</c:v>
                  </c:pt>
                  <c:pt idx="84">
                    <c:v>Feb</c:v>
                  </c:pt>
                  <c:pt idx="85">
                    <c:v>Mar</c:v>
                  </c:pt>
                  <c:pt idx="86">
                    <c:v>Apr</c:v>
                  </c:pt>
                  <c:pt idx="87">
                    <c:v>May</c:v>
                  </c:pt>
                  <c:pt idx="88">
                    <c:v>Jun</c:v>
                  </c:pt>
                  <c:pt idx="89">
                    <c:v>Jul</c:v>
                  </c:pt>
                  <c:pt idx="90">
                    <c:v>Aug</c:v>
                  </c:pt>
                  <c:pt idx="91">
                    <c:v>Sept</c:v>
                  </c:pt>
                  <c:pt idx="92">
                    <c:v>Oct</c:v>
                  </c:pt>
                  <c:pt idx="93">
                    <c:v>Nov</c:v>
                  </c:pt>
                  <c:pt idx="94">
                    <c:v>Dec</c:v>
                  </c:pt>
                  <c:pt idx="95">
                    <c:v>Jan</c:v>
                  </c:pt>
                  <c:pt idx="96">
                    <c:v>Feb</c:v>
                  </c:pt>
                  <c:pt idx="97">
                    <c:v>Mar</c:v>
                  </c:pt>
                  <c:pt idx="98">
                    <c:v>Apr</c:v>
                  </c:pt>
                  <c:pt idx="99">
                    <c:v>May</c:v>
                  </c:pt>
                  <c:pt idx="100">
                    <c:v>Jun</c:v>
                  </c:pt>
                  <c:pt idx="101">
                    <c:v>Jul</c:v>
                  </c:pt>
                  <c:pt idx="102">
                    <c:v>Aug</c:v>
                  </c:pt>
                  <c:pt idx="103">
                    <c:v>Sept</c:v>
                  </c:pt>
                </c:lvl>
                <c:lvl>
                  <c:pt idx="0">
                    <c:v>2008</c:v>
                  </c:pt>
                  <c:pt idx="11">
                    <c:v>2009</c:v>
                  </c:pt>
                  <c:pt idx="23">
                    <c:v>2010</c:v>
                  </c:pt>
                  <c:pt idx="35">
                    <c:v>2011</c:v>
                  </c:pt>
                  <c:pt idx="47">
                    <c:v>2012</c:v>
                  </c:pt>
                  <c:pt idx="59">
                    <c:v>2013</c:v>
                  </c:pt>
                  <c:pt idx="71">
                    <c:v>2014</c:v>
                  </c:pt>
                  <c:pt idx="83">
                    <c:v>2015</c:v>
                  </c:pt>
                  <c:pt idx="95">
                    <c:v>2016</c:v>
                  </c:pt>
                </c:lvl>
              </c:multiLvlStrCache>
            </c:multiLvlStrRef>
          </c:cat>
          <c:val>
            <c:numRef>
              <c:f>'Monthly Pivot'!$E$162:$E$275</c:f>
              <c:numCache>
                <c:formatCode>General</c:formatCode>
                <c:ptCount val="104"/>
                <c:pt idx="5">
                  <c:v>2812.9028955367144</c:v>
                </c:pt>
                <c:pt idx="6">
                  <c:v>3540.3769633507854</c:v>
                </c:pt>
                <c:pt idx="7">
                  <c:v>4279.2509628745584</c:v>
                </c:pt>
                <c:pt idx="8">
                  <c:v>4616.3090101010102</c:v>
                </c:pt>
                <c:pt idx="9">
                  <c:v>3490.8251473918044</c:v>
                </c:pt>
                <c:pt idx="10">
                  <c:v>3554.8154838709679</c:v>
                </c:pt>
                <c:pt idx="11">
                  <c:v>3933.4586228659564</c:v>
                </c:pt>
                <c:pt idx="12">
                  <c:v>4281.1279930843912</c:v>
                </c:pt>
                <c:pt idx="13">
                  <c:v>4098.4418089464516</c:v>
                </c:pt>
                <c:pt idx="14">
                  <c:v>3881.1905526543428</c:v>
                </c:pt>
                <c:pt idx="15">
                  <c:v>4013.7249711433542</c:v>
                </c:pt>
                <c:pt idx="16">
                  <c:v>3005.7765285670334</c:v>
                </c:pt>
                <c:pt idx="17">
                  <c:v>2097.8087051229168</c:v>
                </c:pt>
                <c:pt idx="18">
                  <c:v>4110.446591114729</c:v>
                </c:pt>
                <c:pt idx="19">
                  <c:v>4259.4807393904484</c:v>
                </c:pt>
                <c:pt idx="20">
                  <c:v>3541.1766646248875</c:v>
                </c:pt>
                <c:pt idx="21">
                  <c:v>3317.6509930539164</c:v>
                </c:pt>
                <c:pt idx="22">
                  <c:v>2956.4372341447838</c:v>
                </c:pt>
                <c:pt idx="23">
                  <c:v>2658.8502372229982</c:v>
                </c:pt>
                <c:pt idx="24">
                  <c:v>2442.3018314418</c:v>
                </c:pt>
                <c:pt idx="25">
                  <c:v>2457.9140042126355</c:v>
                </c:pt>
                <c:pt idx="26">
                  <c:v>2578.4612553953261</c:v>
                </c:pt>
                <c:pt idx="27">
                  <c:v>2847.227260314221</c:v>
                </c:pt>
                <c:pt idx="28">
                  <c:v>2518.1966980146294</c:v>
                </c:pt>
                <c:pt idx="29">
                  <c:v>2249.9575608936693</c:v>
                </c:pt>
                <c:pt idx="30">
                  <c:v>2168.7356386732531</c:v>
                </c:pt>
                <c:pt idx="31">
                  <c:v>2348.7151169957629</c:v>
                </c:pt>
                <c:pt idx="32">
                  <c:v>2543.3426198102052</c:v>
                </c:pt>
                <c:pt idx="33">
                  <c:v>2196.802603600524</c:v>
                </c:pt>
                <c:pt idx="34">
                  <c:v>2067.7943627781524</c:v>
                </c:pt>
                <c:pt idx="35">
                  <c:v>1978.3370967741935</c:v>
                </c:pt>
                <c:pt idx="36">
                  <c:v>1883.5110240427427</c:v>
                </c:pt>
                <c:pt idx="37">
                  <c:v>1858.0737747440273</c:v>
                </c:pt>
                <c:pt idx="38">
                  <c:v>1732.7567406746089</c:v>
                </c:pt>
                <c:pt idx="39">
                  <c:v>1655.2025362563238</c:v>
                </c:pt>
                <c:pt idx="40">
                  <c:v>1609.4335250174665</c:v>
                </c:pt>
                <c:pt idx="41">
                  <c:v>1905.9157710083596</c:v>
                </c:pt>
                <c:pt idx="42">
                  <c:v>1829.650434982562</c:v>
                </c:pt>
                <c:pt idx="43">
                  <c:v>1730.6145762711863</c:v>
                </c:pt>
                <c:pt idx="44">
                  <c:v>1600.1636811178989</c:v>
                </c:pt>
                <c:pt idx="45">
                  <c:v>1811.4113093771116</c:v>
                </c:pt>
                <c:pt idx="46">
                  <c:v>1877.9195722450575</c:v>
                </c:pt>
                <c:pt idx="47">
                  <c:v>1801.5159118464803</c:v>
                </c:pt>
                <c:pt idx="48">
                  <c:v>1274.9911191048234</c:v>
                </c:pt>
                <c:pt idx="49">
                  <c:v>1125.616403818975</c:v>
                </c:pt>
                <c:pt idx="50">
                  <c:v>1216.9929999999999</c:v>
                </c:pt>
                <c:pt idx="51">
                  <c:v>1135.1584829851929</c:v>
                </c:pt>
                <c:pt idx="52">
                  <c:v>1068.6288208641724</c:v>
                </c:pt>
                <c:pt idx="53">
                  <c:v>1063.2483870967742</c:v>
                </c:pt>
                <c:pt idx="54">
                  <c:v>1055.1967431788653</c:v>
                </c:pt>
                <c:pt idx="55">
                  <c:v>1290.3711196936783</c:v>
                </c:pt>
                <c:pt idx="56">
                  <c:v>1335.1194001720817</c:v>
                </c:pt>
                <c:pt idx="57">
                  <c:v>1164.3886666666667</c:v>
                </c:pt>
                <c:pt idx="58">
                  <c:v>1016.8064278031845</c:v>
                </c:pt>
                <c:pt idx="59">
                  <c:v>973.70322580645154</c:v>
                </c:pt>
                <c:pt idx="60">
                  <c:v>955.64723665303939</c:v>
                </c:pt>
                <c:pt idx="61">
                  <c:v>888.44185776529127</c:v>
                </c:pt>
                <c:pt idx="62">
                  <c:v>985.06593890589659</c:v>
                </c:pt>
                <c:pt idx="63">
                  <c:v>905.08072385711353</c:v>
                </c:pt>
                <c:pt idx="64">
                  <c:v>849.34518105724192</c:v>
                </c:pt>
                <c:pt idx="65">
                  <c:v>820.87244891805915</c:v>
                </c:pt>
                <c:pt idx="66">
                  <c:v>756.01439319594374</c:v>
                </c:pt>
                <c:pt idx="67">
                  <c:v>684.23767399194344</c:v>
                </c:pt>
                <c:pt idx="68">
                  <c:v>671.9432861532722</c:v>
                </c:pt>
                <c:pt idx="69">
                  <c:v>678.11793027522936</c:v>
                </c:pt>
                <c:pt idx="70">
                  <c:v>590.24459510776126</c:v>
                </c:pt>
                <c:pt idx="71">
                  <c:v>594.84280727812859</c:v>
                </c:pt>
                <c:pt idx="72">
                  <c:v>592.01834708818114</c:v>
                </c:pt>
                <c:pt idx="73">
                  <c:v>530.02633059341701</c:v>
                </c:pt>
                <c:pt idx="74">
                  <c:v>567.00981796024871</c:v>
                </c:pt>
                <c:pt idx="75">
                  <c:v>466.5552102637206</c:v>
                </c:pt>
                <c:pt idx="76">
                  <c:v>448.15740845070422</c:v>
                </c:pt>
                <c:pt idx="77">
                  <c:v>435.89124202407766</c:v>
                </c:pt>
                <c:pt idx="78">
                  <c:v>337.87121092545203</c:v>
                </c:pt>
                <c:pt idx="79">
                  <c:v>334.84733044801675</c:v>
                </c:pt>
                <c:pt idx="80">
                  <c:v>324.60306040268455</c:v>
                </c:pt>
                <c:pt idx="81">
                  <c:v>351.83322512350037</c:v>
                </c:pt>
                <c:pt idx="82">
                  <c:v>313.11042237920884</c:v>
                </c:pt>
                <c:pt idx="83">
                  <c:v>304.82294979958664</c:v>
                </c:pt>
                <c:pt idx="84">
                  <c:v>263.01657747028423</c:v>
                </c:pt>
                <c:pt idx="85">
                  <c:v>260.29161290322583</c:v>
                </c:pt>
                <c:pt idx="86">
                  <c:v>256.24</c:v>
                </c:pt>
                <c:pt idx="87">
                  <c:v>230.57387096774193</c:v>
                </c:pt>
                <c:pt idx="88">
                  <c:v>202.66408123228416</c:v>
                </c:pt>
                <c:pt idx="89">
                  <c:v>217.66346989753376</c:v>
                </c:pt>
                <c:pt idx="90">
                  <c:v>185.94369697946976</c:v>
                </c:pt>
                <c:pt idx="91">
                  <c:v>176.90764491474505</c:v>
                </c:pt>
                <c:pt idx="92">
                  <c:v>182.2800935312587</c:v>
                </c:pt>
                <c:pt idx="93">
                  <c:v>181.17781541101022</c:v>
                </c:pt>
                <c:pt idx="94">
                  <c:v>167.17644834571234</c:v>
                </c:pt>
                <c:pt idx="95">
                  <c:v>150.13744047329001</c:v>
                </c:pt>
                <c:pt idx="96">
                  <c:v>136.00452443275199</c:v>
                </c:pt>
                <c:pt idx="97">
                  <c:v>122.12996043497481</c:v>
                </c:pt>
                <c:pt idx="98">
                  <c:v>104.3508829073382</c:v>
                </c:pt>
                <c:pt idx="99">
                  <c:v>104.48650406504065</c:v>
                </c:pt>
                <c:pt idx="100">
                  <c:v>103.0616366952712</c:v>
                </c:pt>
                <c:pt idx="101">
                  <c:v>105.71712175284254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56-47CD-8B15-8215A22815A8}"/>
            </c:ext>
          </c:extLst>
        </c:ser>
        <c:ser>
          <c:idx val="4"/>
          <c:order val="4"/>
          <c:tx>
            <c:strRef>
              <c:f>'Monthly Pivot'!$F$160:$F$161</c:f>
              <c:strCache>
                <c:ptCount val="1"/>
                <c:pt idx="0">
                  <c:v>15/9-F-15 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'Monthly Pivot'!$A$162:$A$275</c:f>
              <c:multiLvlStrCache>
                <c:ptCount val="104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Apr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Aug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Dec</c:v>
                  </c:pt>
                  <c:pt idx="23">
                    <c:v>Jan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Apr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Aug</c:v>
                  </c:pt>
                  <c:pt idx="31">
                    <c:v>Sept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Jan</c:v>
                  </c:pt>
                  <c:pt idx="36">
                    <c:v>Feb</c:v>
                  </c:pt>
                  <c:pt idx="37">
                    <c:v>Mar</c:v>
                  </c:pt>
                  <c:pt idx="38">
                    <c:v>Apr</c:v>
                  </c:pt>
                  <c:pt idx="39">
                    <c:v>May</c:v>
                  </c:pt>
                  <c:pt idx="40">
                    <c:v>Jun</c:v>
                  </c:pt>
                  <c:pt idx="41">
                    <c:v>Jul</c:v>
                  </c:pt>
                  <c:pt idx="42">
                    <c:v>Aug</c:v>
                  </c:pt>
                  <c:pt idx="43">
                    <c:v>Sept</c:v>
                  </c:pt>
                  <c:pt idx="44">
                    <c:v>Oct</c:v>
                  </c:pt>
                  <c:pt idx="45">
                    <c:v>Nov</c:v>
                  </c:pt>
                  <c:pt idx="46">
                    <c:v>Dec</c:v>
                  </c:pt>
                  <c:pt idx="47">
                    <c:v>Jan</c:v>
                  </c:pt>
                  <c:pt idx="48">
                    <c:v>Feb</c:v>
                  </c:pt>
                  <c:pt idx="49">
                    <c:v>Mar</c:v>
                  </c:pt>
                  <c:pt idx="50">
                    <c:v>Apr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Jul</c:v>
                  </c:pt>
                  <c:pt idx="54">
                    <c:v>Aug</c:v>
                  </c:pt>
                  <c:pt idx="55">
                    <c:v>Sept</c:v>
                  </c:pt>
                  <c:pt idx="56">
                    <c:v>Oct</c:v>
                  </c:pt>
                  <c:pt idx="57">
                    <c:v>Nov</c:v>
                  </c:pt>
                  <c:pt idx="58">
                    <c:v>Dec</c:v>
                  </c:pt>
                  <c:pt idx="59">
                    <c:v>Jan</c:v>
                  </c:pt>
                  <c:pt idx="60">
                    <c:v>Feb</c:v>
                  </c:pt>
                  <c:pt idx="61">
                    <c:v>Mar</c:v>
                  </c:pt>
                  <c:pt idx="62">
                    <c:v>Apr</c:v>
                  </c:pt>
                  <c:pt idx="63">
                    <c:v>May</c:v>
                  </c:pt>
                  <c:pt idx="64">
                    <c:v>Jun</c:v>
                  </c:pt>
                  <c:pt idx="65">
                    <c:v>Jul</c:v>
                  </c:pt>
                  <c:pt idx="66">
                    <c:v>Aug</c:v>
                  </c:pt>
                  <c:pt idx="67">
                    <c:v>Sept</c:v>
                  </c:pt>
                  <c:pt idx="68">
                    <c:v>Oct</c:v>
                  </c:pt>
                  <c:pt idx="69">
                    <c:v>Nov</c:v>
                  </c:pt>
                  <c:pt idx="70">
                    <c:v>Dec</c:v>
                  </c:pt>
                  <c:pt idx="71">
                    <c:v>Jan</c:v>
                  </c:pt>
                  <c:pt idx="72">
                    <c:v>Feb</c:v>
                  </c:pt>
                  <c:pt idx="73">
                    <c:v>Mar</c:v>
                  </c:pt>
                  <c:pt idx="74">
                    <c:v>Apr</c:v>
                  </c:pt>
                  <c:pt idx="75">
                    <c:v>May</c:v>
                  </c:pt>
                  <c:pt idx="76">
                    <c:v>Jun</c:v>
                  </c:pt>
                  <c:pt idx="77">
                    <c:v>Jul</c:v>
                  </c:pt>
                  <c:pt idx="78">
                    <c:v>Aug</c:v>
                  </c:pt>
                  <c:pt idx="79">
                    <c:v>Sept</c:v>
                  </c:pt>
                  <c:pt idx="80">
                    <c:v>Oct</c:v>
                  </c:pt>
                  <c:pt idx="81">
                    <c:v>Nov</c:v>
                  </c:pt>
                  <c:pt idx="82">
                    <c:v>Dec</c:v>
                  </c:pt>
                  <c:pt idx="83">
                    <c:v>Jan</c:v>
                  </c:pt>
                  <c:pt idx="84">
                    <c:v>Feb</c:v>
                  </c:pt>
                  <c:pt idx="85">
                    <c:v>Mar</c:v>
                  </c:pt>
                  <c:pt idx="86">
                    <c:v>Apr</c:v>
                  </c:pt>
                  <c:pt idx="87">
                    <c:v>May</c:v>
                  </c:pt>
                  <c:pt idx="88">
                    <c:v>Jun</c:v>
                  </c:pt>
                  <c:pt idx="89">
                    <c:v>Jul</c:v>
                  </c:pt>
                  <c:pt idx="90">
                    <c:v>Aug</c:v>
                  </c:pt>
                  <c:pt idx="91">
                    <c:v>Sept</c:v>
                  </c:pt>
                  <c:pt idx="92">
                    <c:v>Oct</c:v>
                  </c:pt>
                  <c:pt idx="93">
                    <c:v>Nov</c:v>
                  </c:pt>
                  <c:pt idx="94">
                    <c:v>Dec</c:v>
                  </c:pt>
                  <c:pt idx="95">
                    <c:v>Jan</c:v>
                  </c:pt>
                  <c:pt idx="96">
                    <c:v>Feb</c:v>
                  </c:pt>
                  <c:pt idx="97">
                    <c:v>Mar</c:v>
                  </c:pt>
                  <c:pt idx="98">
                    <c:v>Apr</c:v>
                  </c:pt>
                  <c:pt idx="99">
                    <c:v>May</c:v>
                  </c:pt>
                  <c:pt idx="100">
                    <c:v>Jun</c:v>
                  </c:pt>
                  <c:pt idx="101">
                    <c:v>Jul</c:v>
                  </c:pt>
                  <c:pt idx="102">
                    <c:v>Aug</c:v>
                  </c:pt>
                  <c:pt idx="103">
                    <c:v>Sept</c:v>
                  </c:pt>
                </c:lvl>
                <c:lvl>
                  <c:pt idx="0">
                    <c:v>2008</c:v>
                  </c:pt>
                  <c:pt idx="11">
                    <c:v>2009</c:v>
                  </c:pt>
                  <c:pt idx="23">
                    <c:v>2010</c:v>
                  </c:pt>
                  <c:pt idx="35">
                    <c:v>2011</c:v>
                  </c:pt>
                  <c:pt idx="47">
                    <c:v>2012</c:v>
                  </c:pt>
                  <c:pt idx="59">
                    <c:v>2013</c:v>
                  </c:pt>
                  <c:pt idx="71">
                    <c:v>2014</c:v>
                  </c:pt>
                  <c:pt idx="83">
                    <c:v>2015</c:v>
                  </c:pt>
                  <c:pt idx="95">
                    <c:v>2016</c:v>
                  </c:pt>
                </c:lvl>
              </c:multiLvlStrCache>
            </c:multiLvlStrRef>
          </c:cat>
          <c:val>
            <c:numRef>
              <c:f>'Monthly Pivot'!$F$162:$F$275</c:f>
              <c:numCache>
                <c:formatCode>General</c:formatCode>
                <c:ptCount val="104"/>
                <c:pt idx="71">
                  <c:v>400.6603147765598</c:v>
                </c:pt>
                <c:pt idx="72">
                  <c:v>318.25131674219233</c:v>
                </c:pt>
                <c:pt idx="73">
                  <c:v>253.38096161013792</c:v>
                </c:pt>
                <c:pt idx="74">
                  <c:v>245.29224184055644</c:v>
                </c:pt>
                <c:pt idx="75">
                  <c:v>232.85838709677418</c:v>
                </c:pt>
                <c:pt idx="76">
                  <c:v>237.26672709335784</c:v>
                </c:pt>
                <c:pt idx="77">
                  <c:v>224.30137678350442</c:v>
                </c:pt>
                <c:pt idx="78">
                  <c:v>192.48684013154099</c:v>
                </c:pt>
                <c:pt idx="79">
                  <c:v>196.99985639230474</c:v>
                </c:pt>
                <c:pt idx="80">
                  <c:v>187.62447358011124</c:v>
                </c:pt>
                <c:pt idx="81">
                  <c:v>189.48138104205901</c:v>
                </c:pt>
                <c:pt idx="83">
                  <c:v>205.61877466659124</c:v>
                </c:pt>
                <c:pt idx="84">
                  <c:v>169.3137851508595</c:v>
                </c:pt>
                <c:pt idx="85">
                  <c:v>149.02846194777939</c:v>
                </c:pt>
                <c:pt idx="86">
                  <c:v>141.99733333333333</c:v>
                </c:pt>
                <c:pt idx="87">
                  <c:v>132.11536001756565</c:v>
                </c:pt>
                <c:pt idx="88">
                  <c:v>122.36611769057126</c:v>
                </c:pt>
                <c:pt idx="89">
                  <c:v>127.8555343936428</c:v>
                </c:pt>
                <c:pt idx="90">
                  <c:v>310.77410890410209</c:v>
                </c:pt>
                <c:pt idx="91">
                  <c:v>247.53446060987571</c:v>
                </c:pt>
                <c:pt idx="92">
                  <c:v>204.96602733812054</c:v>
                </c:pt>
                <c:pt idx="93">
                  <c:v>214.76813936990794</c:v>
                </c:pt>
                <c:pt idx="94">
                  <c:v>218.14932323185661</c:v>
                </c:pt>
                <c:pt idx="95">
                  <c:v>198.00890410958903</c:v>
                </c:pt>
                <c:pt idx="96">
                  <c:v>176.50078445483987</c:v>
                </c:pt>
                <c:pt idx="97">
                  <c:v>163.33395271318156</c:v>
                </c:pt>
                <c:pt idx="98">
                  <c:v>189.17304821644038</c:v>
                </c:pt>
                <c:pt idx="99">
                  <c:v>166.54133316986793</c:v>
                </c:pt>
                <c:pt idx="100">
                  <c:v>137.43023708422911</c:v>
                </c:pt>
                <c:pt idx="101">
                  <c:v>143.70861788617887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56-47CD-8B15-8215A22815A8}"/>
            </c:ext>
          </c:extLst>
        </c:ser>
        <c:ser>
          <c:idx val="5"/>
          <c:order val="5"/>
          <c:tx>
            <c:strRef>
              <c:f>'Monthly Pivot'!$G$160:$G$161</c:f>
              <c:strCache>
                <c:ptCount val="1"/>
                <c:pt idx="0">
                  <c:v>15/9-F-5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'Monthly Pivot'!$A$162:$A$275</c:f>
              <c:multiLvlStrCache>
                <c:ptCount val="104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Apr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Aug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Dec</c:v>
                  </c:pt>
                  <c:pt idx="23">
                    <c:v>Jan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Apr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Aug</c:v>
                  </c:pt>
                  <c:pt idx="31">
                    <c:v>Sept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Jan</c:v>
                  </c:pt>
                  <c:pt idx="36">
                    <c:v>Feb</c:v>
                  </c:pt>
                  <c:pt idx="37">
                    <c:v>Mar</c:v>
                  </c:pt>
                  <c:pt idx="38">
                    <c:v>Apr</c:v>
                  </c:pt>
                  <c:pt idx="39">
                    <c:v>May</c:v>
                  </c:pt>
                  <c:pt idx="40">
                    <c:v>Jun</c:v>
                  </c:pt>
                  <c:pt idx="41">
                    <c:v>Jul</c:v>
                  </c:pt>
                  <c:pt idx="42">
                    <c:v>Aug</c:v>
                  </c:pt>
                  <c:pt idx="43">
                    <c:v>Sept</c:v>
                  </c:pt>
                  <c:pt idx="44">
                    <c:v>Oct</c:v>
                  </c:pt>
                  <c:pt idx="45">
                    <c:v>Nov</c:v>
                  </c:pt>
                  <c:pt idx="46">
                    <c:v>Dec</c:v>
                  </c:pt>
                  <c:pt idx="47">
                    <c:v>Jan</c:v>
                  </c:pt>
                  <c:pt idx="48">
                    <c:v>Feb</c:v>
                  </c:pt>
                  <c:pt idx="49">
                    <c:v>Mar</c:v>
                  </c:pt>
                  <c:pt idx="50">
                    <c:v>Apr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Jul</c:v>
                  </c:pt>
                  <c:pt idx="54">
                    <c:v>Aug</c:v>
                  </c:pt>
                  <c:pt idx="55">
                    <c:v>Sept</c:v>
                  </c:pt>
                  <c:pt idx="56">
                    <c:v>Oct</c:v>
                  </c:pt>
                  <c:pt idx="57">
                    <c:v>Nov</c:v>
                  </c:pt>
                  <c:pt idx="58">
                    <c:v>Dec</c:v>
                  </c:pt>
                  <c:pt idx="59">
                    <c:v>Jan</c:v>
                  </c:pt>
                  <c:pt idx="60">
                    <c:v>Feb</c:v>
                  </c:pt>
                  <c:pt idx="61">
                    <c:v>Mar</c:v>
                  </c:pt>
                  <c:pt idx="62">
                    <c:v>Apr</c:v>
                  </c:pt>
                  <c:pt idx="63">
                    <c:v>May</c:v>
                  </c:pt>
                  <c:pt idx="64">
                    <c:v>Jun</c:v>
                  </c:pt>
                  <c:pt idx="65">
                    <c:v>Jul</c:v>
                  </c:pt>
                  <c:pt idx="66">
                    <c:v>Aug</c:v>
                  </c:pt>
                  <c:pt idx="67">
                    <c:v>Sept</c:v>
                  </c:pt>
                  <c:pt idx="68">
                    <c:v>Oct</c:v>
                  </c:pt>
                  <c:pt idx="69">
                    <c:v>Nov</c:v>
                  </c:pt>
                  <c:pt idx="70">
                    <c:v>Dec</c:v>
                  </c:pt>
                  <c:pt idx="71">
                    <c:v>Jan</c:v>
                  </c:pt>
                  <c:pt idx="72">
                    <c:v>Feb</c:v>
                  </c:pt>
                  <c:pt idx="73">
                    <c:v>Mar</c:v>
                  </c:pt>
                  <c:pt idx="74">
                    <c:v>Apr</c:v>
                  </c:pt>
                  <c:pt idx="75">
                    <c:v>May</c:v>
                  </c:pt>
                  <c:pt idx="76">
                    <c:v>Jun</c:v>
                  </c:pt>
                  <c:pt idx="77">
                    <c:v>Jul</c:v>
                  </c:pt>
                  <c:pt idx="78">
                    <c:v>Aug</c:v>
                  </c:pt>
                  <c:pt idx="79">
                    <c:v>Sept</c:v>
                  </c:pt>
                  <c:pt idx="80">
                    <c:v>Oct</c:v>
                  </c:pt>
                  <c:pt idx="81">
                    <c:v>Nov</c:v>
                  </c:pt>
                  <c:pt idx="82">
                    <c:v>Dec</c:v>
                  </c:pt>
                  <c:pt idx="83">
                    <c:v>Jan</c:v>
                  </c:pt>
                  <c:pt idx="84">
                    <c:v>Feb</c:v>
                  </c:pt>
                  <c:pt idx="85">
                    <c:v>Mar</c:v>
                  </c:pt>
                  <c:pt idx="86">
                    <c:v>Apr</c:v>
                  </c:pt>
                  <c:pt idx="87">
                    <c:v>May</c:v>
                  </c:pt>
                  <c:pt idx="88">
                    <c:v>Jun</c:v>
                  </c:pt>
                  <c:pt idx="89">
                    <c:v>Jul</c:v>
                  </c:pt>
                  <c:pt idx="90">
                    <c:v>Aug</c:v>
                  </c:pt>
                  <c:pt idx="91">
                    <c:v>Sept</c:v>
                  </c:pt>
                  <c:pt idx="92">
                    <c:v>Oct</c:v>
                  </c:pt>
                  <c:pt idx="93">
                    <c:v>Nov</c:v>
                  </c:pt>
                  <c:pt idx="94">
                    <c:v>Dec</c:v>
                  </c:pt>
                  <c:pt idx="95">
                    <c:v>Jan</c:v>
                  </c:pt>
                  <c:pt idx="96">
                    <c:v>Feb</c:v>
                  </c:pt>
                  <c:pt idx="97">
                    <c:v>Mar</c:v>
                  </c:pt>
                  <c:pt idx="98">
                    <c:v>Apr</c:v>
                  </c:pt>
                  <c:pt idx="99">
                    <c:v>May</c:v>
                  </c:pt>
                  <c:pt idx="100">
                    <c:v>Jun</c:v>
                  </c:pt>
                  <c:pt idx="101">
                    <c:v>Jul</c:v>
                  </c:pt>
                  <c:pt idx="102">
                    <c:v>Aug</c:v>
                  </c:pt>
                  <c:pt idx="103">
                    <c:v>Sept</c:v>
                  </c:pt>
                </c:lvl>
                <c:lvl>
                  <c:pt idx="0">
                    <c:v>2008</c:v>
                  </c:pt>
                  <c:pt idx="11">
                    <c:v>2009</c:v>
                  </c:pt>
                  <c:pt idx="23">
                    <c:v>2010</c:v>
                  </c:pt>
                  <c:pt idx="35">
                    <c:v>2011</c:v>
                  </c:pt>
                  <c:pt idx="47">
                    <c:v>2012</c:v>
                  </c:pt>
                  <c:pt idx="59">
                    <c:v>2013</c:v>
                  </c:pt>
                  <c:pt idx="71">
                    <c:v>2014</c:v>
                  </c:pt>
                  <c:pt idx="83">
                    <c:v>2015</c:v>
                  </c:pt>
                  <c:pt idx="95">
                    <c:v>2016</c:v>
                  </c:pt>
                </c:lvl>
              </c:multiLvlStrCache>
            </c:multiLvlStrRef>
          </c:cat>
          <c:val>
            <c:numRef>
              <c:f>'Monthly Pivot'!$G$162:$G$275</c:f>
              <c:numCache>
                <c:formatCode>General</c:formatCode>
                <c:ptCount val="104"/>
                <c:pt idx="99">
                  <c:v>318.83278688524587</c:v>
                </c:pt>
                <c:pt idx="100">
                  <c:v>304.71943252653091</c:v>
                </c:pt>
                <c:pt idx="101">
                  <c:v>358.40864721445433</c:v>
                </c:pt>
                <c:pt idx="102">
                  <c:v>352.21037925792007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56-47CD-8B15-8215A2281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304320"/>
        <c:axId val="70307200"/>
      </c:lineChart>
      <c:catAx>
        <c:axId val="7030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07200"/>
        <c:crosses val="autoZero"/>
        <c:auto val="1"/>
        <c:lblAlgn val="ctr"/>
        <c:lblOffset val="100"/>
        <c:noMultiLvlLbl val="0"/>
      </c:catAx>
      <c:valAx>
        <c:axId val="7030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0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03662548157463"/>
          <c:y val="6.6611012979680015E-2"/>
          <c:w val="0.15241136379128431"/>
          <c:h val="0.379622130616167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[Volve_Production_Dashboard.xlsx]Monthly Pivot!PivotTable9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Water Cut per Producer over Time - Volve Field</a:t>
            </a:r>
          </a:p>
        </c:rich>
      </c:tx>
      <c:layout>
        <c:manualLayout>
          <c:xMode val="edge"/>
          <c:yMode val="edge"/>
          <c:x val="0.2692575128544118"/>
          <c:y val="7.88058083032951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016370330676228E-2"/>
          <c:y val="0.14457488431870238"/>
          <c:w val="0.83212031841055156"/>
          <c:h val="0.69042571774279249"/>
        </c:manualLayout>
      </c:layout>
      <c:lineChart>
        <c:grouping val="standard"/>
        <c:varyColors val="0"/>
        <c:ser>
          <c:idx val="0"/>
          <c:order val="0"/>
          <c:tx>
            <c:strRef>
              <c:f>'Monthly Pivot'!$B$298:$B$299</c:f>
              <c:strCache>
                <c:ptCount val="1"/>
                <c:pt idx="0">
                  <c:v>15/9-F-1 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'Monthly Pivot'!$A$300:$A$413</c:f>
              <c:multiLvlStrCache>
                <c:ptCount val="104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Apr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Aug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Dec</c:v>
                  </c:pt>
                  <c:pt idx="23">
                    <c:v>Jan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Apr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Aug</c:v>
                  </c:pt>
                  <c:pt idx="31">
                    <c:v>Sept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Jan</c:v>
                  </c:pt>
                  <c:pt idx="36">
                    <c:v>Feb</c:v>
                  </c:pt>
                  <c:pt idx="37">
                    <c:v>Mar</c:v>
                  </c:pt>
                  <c:pt idx="38">
                    <c:v>Apr</c:v>
                  </c:pt>
                  <c:pt idx="39">
                    <c:v>May</c:v>
                  </c:pt>
                  <c:pt idx="40">
                    <c:v>Jun</c:v>
                  </c:pt>
                  <c:pt idx="41">
                    <c:v>Jul</c:v>
                  </c:pt>
                  <c:pt idx="42">
                    <c:v>Aug</c:v>
                  </c:pt>
                  <c:pt idx="43">
                    <c:v>Sept</c:v>
                  </c:pt>
                  <c:pt idx="44">
                    <c:v>Oct</c:v>
                  </c:pt>
                  <c:pt idx="45">
                    <c:v>Nov</c:v>
                  </c:pt>
                  <c:pt idx="46">
                    <c:v>Dec</c:v>
                  </c:pt>
                  <c:pt idx="47">
                    <c:v>Jan</c:v>
                  </c:pt>
                  <c:pt idx="48">
                    <c:v>Feb</c:v>
                  </c:pt>
                  <c:pt idx="49">
                    <c:v>Mar</c:v>
                  </c:pt>
                  <c:pt idx="50">
                    <c:v>Apr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Jul</c:v>
                  </c:pt>
                  <c:pt idx="54">
                    <c:v>Aug</c:v>
                  </c:pt>
                  <c:pt idx="55">
                    <c:v>Sept</c:v>
                  </c:pt>
                  <c:pt idx="56">
                    <c:v>Oct</c:v>
                  </c:pt>
                  <c:pt idx="57">
                    <c:v>Nov</c:v>
                  </c:pt>
                  <c:pt idx="58">
                    <c:v>Dec</c:v>
                  </c:pt>
                  <c:pt idx="59">
                    <c:v>Jan</c:v>
                  </c:pt>
                  <c:pt idx="60">
                    <c:v>Feb</c:v>
                  </c:pt>
                  <c:pt idx="61">
                    <c:v>Mar</c:v>
                  </c:pt>
                  <c:pt idx="62">
                    <c:v>Apr</c:v>
                  </c:pt>
                  <c:pt idx="63">
                    <c:v>May</c:v>
                  </c:pt>
                  <c:pt idx="64">
                    <c:v>Jun</c:v>
                  </c:pt>
                  <c:pt idx="65">
                    <c:v>Jul</c:v>
                  </c:pt>
                  <c:pt idx="66">
                    <c:v>Aug</c:v>
                  </c:pt>
                  <c:pt idx="67">
                    <c:v>Sept</c:v>
                  </c:pt>
                  <c:pt idx="68">
                    <c:v>Oct</c:v>
                  </c:pt>
                  <c:pt idx="69">
                    <c:v>Nov</c:v>
                  </c:pt>
                  <c:pt idx="70">
                    <c:v>Dec</c:v>
                  </c:pt>
                  <c:pt idx="71">
                    <c:v>Jan</c:v>
                  </c:pt>
                  <c:pt idx="72">
                    <c:v>Feb</c:v>
                  </c:pt>
                  <c:pt idx="73">
                    <c:v>Mar</c:v>
                  </c:pt>
                  <c:pt idx="74">
                    <c:v>Apr</c:v>
                  </c:pt>
                  <c:pt idx="75">
                    <c:v>May</c:v>
                  </c:pt>
                  <c:pt idx="76">
                    <c:v>Jun</c:v>
                  </c:pt>
                  <c:pt idx="77">
                    <c:v>Jul</c:v>
                  </c:pt>
                  <c:pt idx="78">
                    <c:v>Aug</c:v>
                  </c:pt>
                  <c:pt idx="79">
                    <c:v>Sept</c:v>
                  </c:pt>
                  <c:pt idx="80">
                    <c:v>Oct</c:v>
                  </c:pt>
                  <c:pt idx="81">
                    <c:v>Nov</c:v>
                  </c:pt>
                  <c:pt idx="82">
                    <c:v>Dec</c:v>
                  </c:pt>
                  <c:pt idx="83">
                    <c:v>Jan</c:v>
                  </c:pt>
                  <c:pt idx="84">
                    <c:v>Feb</c:v>
                  </c:pt>
                  <c:pt idx="85">
                    <c:v>Mar</c:v>
                  </c:pt>
                  <c:pt idx="86">
                    <c:v>Apr</c:v>
                  </c:pt>
                  <c:pt idx="87">
                    <c:v>May</c:v>
                  </c:pt>
                  <c:pt idx="88">
                    <c:v>Jun</c:v>
                  </c:pt>
                  <c:pt idx="89">
                    <c:v>Jul</c:v>
                  </c:pt>
                  <c:pt idx="90">
                    <c:v>Aug</c:v>
                  </c:pt>
                  <c:pt idx="91">
                    <c:v>Sept</c:v>
                  </c:pt>
                  <c:pt idx="92">
                    <c:v>Oct</c:v>
                  </c:pt>
                  <c:pt idx="93">
                    <c:v>Nov</c:v>
                  </c:pt>
                  <c:pt idx="94">
                    <c:v>Dec</c:v>
                  </c:pt>
                  <c:pt idx="95">
                    <c:v>Jan</c:v>
                  </c:pt>
                  <c:pt idx="96">
                    <c:v>Feb</c:v>
                  </c:pt>
                  <c:pt idx="97">
                    <c:v>Mar</c:v>
                  </c:pt>
                  <c:pt idx="98">
                    <c:v>Apr</c:v>
                  </c:pt>
                  <c:pt idx="99">
                    <c:v>May</c:v>
                  </c:pt>
                  <c:pt idx="100">
                    <c:v>Jun</c:v>
                  </c:pt>
                  <c:pt idx="101">
                    <c:v>Jul</c:v>
                  </c:pt>
                  <c:pt idx="102">
                    <c:v>Aug</c:v>
                  </c:pt>
                  <c:pt idx="103">
                    <c:v>Sept</c:v>
                  </c:pt>
                </c:lvl>
                <c:lvl>
                  <c:pt idx="0">
                    <c:v>2008</c:v>
                  </c:pt>
                  <c:pt idx="11">
                    <c:v>2009</c:v>
                  </c:pt>
                  <c:pt idx="23">
                    <c:v>2010</c:v>
                  </c:pt>
                  <c:pt idx="35">
                    <c:v>2011</c:v>
                  </c:pt>
                  <c:pt idx="47">
                    <c:v>2012</c:v>
                  </c:pt>
                  <c:pt idx="59">
                    <c:v>2013</c:v>
                  </c:pt>
                  <c:pt idx="71">
                    <c:v>2014</c:v>
                  </c:pt>
                  <c:pt idx="83">
                    <c:v>2015</c:v>
                  </c:pt>
                  <c:pt idx="95">
                    <c:v>2016</c:v>
                  </c:pt>
                </c:lvl>
              </c:multiLvlStrCache>
            </c:multiLvlStrRef>
          </c:cat>
          <c:val>
            <c:numRef>
              <c:f>'Monthly Pivot'!$B$300:$B$413</c:f>
              <c:numCache>
                <c:formatCode>0.0%</c:formatCode>
                <c:ptCount val="104"/>
                <c:pt idx="74">
                  <c:v>0</c:v>
                </c:pt>
                <c:pt idx="75">
                  <c:v>3.0502895999794437E-2</c:v>
                </c:pt>
                <c:pt idx="76">
                  <c:v>9.5382140933605836E-2</c:v>
                </c:pt>
                <c:pt idx="77">
                  <c:v>0.29273696814670275</c:v>
                </c:pt>
                <c:pt idx="78">
                  <c:v>0.39388513918912571</c:v>
                </c:pt>
                <c:pt idx="79">
                  <c:v>0.4756708501991877</c:v>
                </c:pt>
                <c:pt idx="80">
                  <c:v>0.5226091152441924</c:v>
                </c:pt>
                <c:pt idx="81">
                  <c:v>0.5187854483860026</c:v>
                </c:pt>
                <c:pt idx="82">
                  <c:v>0.60395746221973456</c:v>
                </c:pt>
                <c:pt idx="83">
                  <c:v>0.38647593720753248</c:v>
                </c:pt>
                <c:pt idx="84">
                  <c:v>0.52848640271340774</c:v>
                </c:pt>
                <c:pt idx="85">
                  <c:v>0.66378828203899432</c:v>
                </c:pt>
                <c:pt idx="86">
                  <c:v>0.71438366035049716</c:v>
                </c:pt>
                <c:pt idx="87">
                  <c:v>0.61673713220588477</c:v>
                </c:pt>
                <c:pt idx="88">
                  <c:v>0.69633646178491648</c:v>
                </c:pt>
                <c:pt idx="89">
                  <c:v>0.80148764577117837</c:v>
                </c:pt>
                <c:pt idx="90">
                  <c:v>0.65009110243082002</c:v>
                </c:pt>
                <c:pt idx="91">
                  <c:v>0.69566348006043144</c:v>
                </c:pt>
                <c:pt idx="92">
                  <c:v>0.76817511522306159</c:v>
                </c:pt>
                <c:pt idx="93">
                  <c:v>0.7780757887782096</c:v>
                </c:pt>
                <c:pt idx="94">
                  <c:v>0.67874636340168848</c:v>
                </c:pt>
                <c:pt idx="95">
                  <c:v>0.8248037927524956</c:v>
                </c:pt>
                <c:pt idx="96">
                  <c:v>0.77167611315656015</c:v>
                </c:pt>
                <c:pt idx="97">
                  <c:v>0.82132347402285222</c:v>
                </c:pt>
                <c:pt idx="98">
                  <c:v>0.72652720021201345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4D-46C1-ACCB-A6AF14C32044}"/>
            </c:ext>
          </c:extLst>
        </c:ser>
        <c:ser>
          <c:idx val="1"/>
          <c:order val="1"/>
          <c:tx>
            <c:strRef>
              <c:f>'Monthly Pivot'!$C$298:$C$299</c:f>
              <c:strCache>
                <c:ptCount val="1"/>
                <c:pt idx="0">
                  <c:v>15/9-F-11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'Monthly Pivot'!$A$300:$A$413</c:f>
              <c:multiLvlStrCache>
                <c:ptCount val="104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Apr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Aug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Dec</c:v>
                  </c:pt>
                  <c:pt idx="23">
                    <c:v>Jan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Apr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Aug</c:v>
                  </c:pt>
                  <c:pt idx="31">
                    <c:v>Sept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Jan</c:v>
                  </c:pt>
                  <c:pt idx="36">
                    <c:v>Feb</c:v>
                  </c:pt>
                  <c:pt idx="37">
                    <c:v>Mar</c:v>
                  </c:pt>
                  <c:pt idx="38">
                    <c:v>Apr</c:v>
                  </c:pt>
                  <c:pt idx="39">
                    <c:v>May</c:v>
                  </c:pt>
                  <c:pt idx="40">
                    <c:v>Jun</c:v>
                  </c:pt>
                  <c:pt idx="41">
                    <c:v>Jul</c:v>
                  </c:pt>
                  <c:pt idx="42">
                    <c:v>Aug</c:v>
                  </c:pt>
                  <c:pt idx="43">
                    <c:v>Sept</c:v>
                  </c:pt>
                  <c:pt idx="44">
                    <c:v>Oct</c:v>
                  </c:pt>
                  <c:pt idx="45">
                    <c:v>Nov</c:v>
                  </c:pt>
                  <c:pt idx="46">
                    <c:v>Dec</c:v>
                  </c:pt>
                  <c:pt idx="47">
                    <c:v>Jan</c:v>
                  </c:pt>
                  <c:pt idx="48">
                    <c:v>Feb</c:v>
                  </c:pt>
                  <c:pt idx="49">
                    <c:v>Mar</c:v>
                  </c:pt>
                  <c:pt idx="50">
                    <c:v>Apr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Jul</c:v>
                  </c:pt>
                  <c:pt idx="54">
                    <c:v>Aug</c:v>
                  </c:pt>
                  <c:pt idx="55">
                    <c:v>Sept</c:v>
                  </c:pt>
                  <c:pt idx="56">
                    <c:v>Oct</c:v>
                  </c:pt>
                  <c:pt idx="57">
                    <c:v>Nov</c:v>
                  </c:pt>
                  <c:pt idx="58">
                    <c:v>Dec</c:v>
                  </c:pt>
                  <c:pt idx="59">
                    <c:v>Jan</c:v>
                  </c:pt>
                  <c:pt idx="60">
                    <c:v>Feb</c:v>
                  </c:pt>
                  <c:pt idx="61">
                    <c:v>Mar</c:v>
                  </c:pt>
                  <c:pt idx="62">
                    <c:v>Apr</c:v>
                  </c:pt>
                  <c:pt idx="63">
                    <c:v>May</c:v>
                  </c:pt>
                  <c:pt idx="64">
                    <c:v>Jun</c:v>
                  </c:pt>
                  <c:pt idx="65">
                    <c:v>Jul</c:v>
                  </c:pt>
                  <c:pt idx="66">
                    <c:v>Aug</c:v>
                  </c:pt>
                  <c:pt idx="67">
                    <c:v>Sept</c:v>
                  </c:pt>
                  <c:pt idx="68">
                    <c:v>Oct</c:v>
                  </c:pt>
                  <c:pt idx="69">
                    <c:v>Nov</c:v>
                  </c:pt>
                  <c:pt idx="70">
                    <c:v>Dec</c:v>
                  </c:pt>
                  <c:pt idx="71">
                    <c:v>Jan</c:v>
                  </c:pt>
                  <c:pt idx="72">
                    <c:v>Feb</c:v>
                  </c:pt>
                  <c:pt idx="73">
                    <c:v>Mar</c:v>
                  </c:pt>
                  <c:pt idx="74">
                    <c:v>Apr</c:v>
                  </c:pt>
                  <c:pt idx="75">
                    <c:v>May</c:v>
                  </c:pt>
                  <c:pt idx="76">
                    <c:v>Jun</c:v>
                  </c:pt>
                  <c:pt idx="77">
                    <c:v>Jul</c:v>
                  </c:pt>
                  <c:pt idx="78">
                    <c:v>Aug</c:v>
                  </c:pt>
                  <c:pt idx="79">
                    <c:v>Sept</c:v>
                  </c:pt>
                  <c:pt idx="80">
                    <c:v>Oct</c:v>
                  </c:pt>
                  <c:pt idx="81">
                    <c:v>Nov</c:v>
                  </c:pt>
                  <c:pt idx="82">
                    <c:v>Dec</c:v>
                  </c:pt>
                  <c:pt idx="83">
                    <c:v>Jan</c:v>
                  </c:pt>
                  <c:pt idx="84">
                    <c:v>Feb</c:v>
                  </c:pt>
                  <c:pt idx="85">
                    <c:v>Mar</c:v>
                  </c:pt>
                  <c:pt idx="86">
                    <c:v>Apr</c:v>
                  </c:pt>
                  <c:pt idx="87">
                    <c:v>May</c:v>
                  </c:pt>
                  <c:pt idx="88">
                    <c:v>Jun</c:v>
                  </c:pt>
                  <c:pt idx="89">
                    <c:v>Jul</c:v>
                  </c:pt>
                  <c:pt idx="90">
                    <c:v>Aug</c:v>
                  </c:pt>
                  <c:pt idx="91">
                    <c:v>Sept</c:v>
                  </c:pt>
                  <c:pt idx="92">
                    <c:v>Oct</c:v>
                  </c:pt>
                  <c:pt idx="93">
                    <c:v>Nov</c:v>
                  </c:pt>
                  <c:pt idx="94">
                    <c:v>Dec</c:v>
                  </c:pt>
                  <c:pt idx="95">
                    <c:v>Jan</c:v>
                  </c:pt>
                  <c:pt idx="96">
                    <c:v>Feb</c:v>
                  </c:pt>
                  <c:pt idx="97">
                    <c:v>Mar</c:v>
                  </c:pt>
                  <c:pt idx="98">
                    <c:v>Apr</c:v>
                  </c:pt>
                  <c:pt idx="99">
                    <c:v>May</c:v>
                  </c:pt>
                  <c:pt idx="100">
                    <c:v>Jun</c:v>
                  </c:pt>
                  <c:pt idx="101">
                    <c:v>Jul</c:v>
                  </c:pt>
                  <c:pt idx="102">
                    <c:v>Aug</c:v>
                  </c:pt>
                  <c:pt idx="103">
                    <c:v>Sept</c:v>
                  </c:pt>
                </c:lvl>
                <c:lvl>
                  <c:pt idx="0">
                    <c:v>2008</c:v>
                  </c:pt>
                  <c:pt idx="11">
                    <c:v>2009</c:v>
                  </c:pt>
                  <c:pt idx="23">
                    <c:v>2010</c:v>
                  </c:pt>
                  <c:pt idx="35">
                    <c:v>2011</c:v>
                  </c:pt>
                  <c:pt idx="47">
                    <c:v>2012</c:v>
                  </c:pt>
                  <c:pt idx="59">
                    <c:v>2013</c:v>
                  </c:pt>
                  <c:pt idx="71">
                    <c:v>2014</c:v>
                  </c:pt>
                  <c:pt idx="83">
                    <c:v>2015</c:v>
                  </c:pt>
                  <c:pt idx="95">
                    <c:v>2016</c:v>
                  </c:pt>
                </c:lvl>
              </c:multiLvlStrCache>
            </c:multiLvlStrRef>
          </c:cat>
          <c:val>
            <c:numRef>
              <c:f>'Monthly Pivot'!$C$300:$C$413</c:f>
              <c:numCache>
                <c:formatCode>0.0%</c:formatCode>
                <c:ptCount val="104"/>
                <c:pt idx="65">
                  <c:v>0</c:v>
                </c:pt>
                <c:pt idx="66">
                  <c:v>1.9988022792057837E-2</c:v>
                </c:pt>
                <c:pt idx="67">
                  <c:v>6.2078553171781251E-2</c:v>
                </c:pt>
                <c:pt idx="68">
                  <c:v>5.34537997387977E-2</c:v>
                </c:pt>
                <c:pt idx="69">
                  <c:v>9.6770167215577685E-2</c:v>
                </c:pt>
                <c:pt idx="70">
                  <c:v>0.12935595679951084</c:v>
                </c:pt>
                <c:pt idx="71">
                  <c:v>0.11166972526124888</c:v>
                </c:pt>
                <c:pt idx="72">
                  <c:v>9.1564527990090017E-2</c:v>
                </c:pt>
                <c:pt idx="73">
                  <c:v>9.9835573145614698E-2</c:v>
                </c:pt>
                <c:pt idx="74">
                  <c:v>0.10427606579294003</c:v>
                </c:pt>
                <c:pt idx="75">
                  <c:v>0.12591096216123979</c:v>
                </c:pt>
                <c:pt idx="76">
                  <c:v>0.15215734590091651</c:v>
                </c:pt>
                <c:pt idx="77">
                  <c:v>0.16766893862555282</c:v>
                </c:pt>
                <c:pt idx="78">
                  <c:v>0.18921681033167403</c:v>
                </c:pt>
                <c:pt idx="79">
                  <c:v>0.2008398224806949</c:v>
                </c:pt>
                <c:pt idx="80">
                  <c:v>0.23307631556411221</c:v>
                </c:pt>
                <c:pt idx="81">
                  <c:v>0.26110118317104947</c:v>
                </c:pt>
                <c:pt idx="82">
                  <c:v>0.26481963916652401</c:v>
                </c:pt>
                <c:pt idx="83">
                  <c:v>0.3192039131876635</c:v>
                </c:pt>
                <c:pt idx="84">
                  <c:v>0.35680389603897456</c:v>
                </c:pt>
                <c:pt idx="85">
                  <c:v>0.30433654419875578</c:v>
                </c:pt>
                <c:pt idx="86">
                  <c:v>0.30409559326634644</c:v>
                </c:pt>
                <c:pt idx="87">
                  <c:v>0.30741434590128341</c:v>
                </c:pt>
                <c:pt idx="88">
                  <c:v>0.3218608624642027</c:v>
                </c:pt>
                <c:pt idx="89">
                  <c:v>0.45255892710969003</c:v>
                </c:pt>
                <c:pt idx="90">
                  <c:v>0.50293749632112694</c:v>
                </c:pt>
                <c:pt idx="91">
                  <c:v>0.54348902993821291</c:v>
                </c:pt>
                <c:pt idx="92">
                  <c:v>0.56124063321157702</c:v>
                </c:pt>
                <c:pt idx="93">
                  <c:v>0.61045595516109974</c:v>
                </c:pt>
                <c:pt idx="94">
                  <c:v>0.6367017024941215</c:v>
                </c:pt>
                <c:pt idx="95">
                  <c:v>0.68264695746060211</c:v>
                </c:pt>
                <c:pt idx="96">
                  <c:v>0.7196072686605508</c:v>
                </c:pt>
                <c:pt idx="97">
                  <c:v>0.75385099953157864</c:v>
                </c:pt>
                <c:pt idx="98">
                  <c:v>0.81181508130670321</c:v>
                </c:pt>
                <c:pt idx="99">
                  <c:v>0.82546863701050577</c:v>
                </c:pt>
                <c:pt idx="100">
                  <c:v>0.83091184652304861</c:v>
                </c:pt>
                <c:pt idx="101">
                  <c:v>0.8427359472436744</c:v>
                </c:pt>
                <c:pt idx="102">
                  <c:v>0.85750550681453641</c:v>
                </c:pt>
                <c:pt idx="103">
                  <c:v>0.8445675705294432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4D-46C1-ACCB-A6AF14C32044}"/>
            </c:ext>
          </c:extLst>
        </c:ser>
        <c:ser>
          <c:idx val="2"/>
          <c:order val="2"/>
          <c:tx>
            <c:strRef>
              <c:f>'Monthly Pivot'!$D$298:$D$299</c:f>
              <c:strCache>
                <c:ptCount val="1"/>
                <c:pt idx="0">
                  <c:v>15/9-F-12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'Monthly Pivot'!$A$300:$A$413</c:f>
              <c:multiLvlStrCache>
                <c:ptCount val="104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Apr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Aug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Dec</c:v>
                  </c:pt>
                  <c:pt idx="23">
                    <c:v>Jan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Apr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Aug</c:v>
                  </c:pt>
                  <c:pt idx="31">
                    <c:v>Sept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Jan</c:v>
                  </c:pt>
                  <c:pt idx="36">
                    <c:v>Feb</c:v>
                  </c:pt>
                  <c:pt idx="37">
                    <c:v>Mar</c:v>
                  </c:pt>
                  <c:pt idx="38">
                    <c:v>Apr</c:v>
                  </c:pt>
                  <c:pt idx="39">
                    <c:v>May</c:v>
                  </c:pt>
                  <c:pt idx="40">
                    <c:v>Jun</c:v>
                  </c:pt>
                  <c:pt idx="41">
                    <c:v>Jul</c:v>
                  </c:pt>
                  <c:pt idx="42">
                    <c:v>Aug</c:v>
                  </c:pt>
                  <c:pt idx="43">
                    <c:v>Sept</c:v>
                  </c:pt>
                  <c:pt idx="44">
                    <c:v>Oct</c:v>
                  </c:pt>
                  <c:pt idx="45">
                    <c:v>Nov</c:v>
                  </c:pt>
                  <c:pt idx="46">
                    <c:v>Dec</c:v>
                  </c:pt>
                  <c:pt idx="47">
                    <c:v>Jan</c:v>
                  </c:pt>
                  <c:pt idx="48">
                    <c:v>Feb</c:v>
                  </c:pt>
                  <c:pt idx="49">
                    <c:v>Mar</c:v>
                  </c:pt>
                  <c:pt idx="50">
                    <c:v>Apr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Jul</c:v>
                  </c:pt>
                  <c:pt idx="54">
                    <c:v>Aug</c:v>
                  </c:pt>
                  <c:pt idx="55">
                    <c:v>Sept</c:v>
                  </c:pt>
                  <c:pt idx="56">
                    <c:v>Oct</c:v>
                  </c:pt>
                  <c:pt idx="57">
                    <c:v>Nov</c:v>
                  </c:pt>
                  <c:pt idx="58">
                    <c:v>Dec</c:v>
                  </c:pt>
                  <c:pt idx="59">
                    <c:v>Jan</c:v>
                  </c:pt>
                  <c:pt idx="60">
                    <c:v>Feb</c:v>
                  </c:pt>
                  <c:pt idx="61">
                    <c:v>Mar</c:v>
                  </c:pt>
                  <c:pt idx="62">
                    <c:v>Apr</c:v>
                  </c:pt>
                  <c:pt idx="63">
                    <c:v>May</c:v>
                  </c:pt>
                  <c:pt idx="64">
                    <c:v>Jun</c:v>
                  </c:pt>
                  <c:pt idx="65">
                    <c:v>Jul</c:v>
                  </c:pt>
                  <c:pt idx="66">
                    <c:v>Aug</c:v>
                  </c:pt>
                  <c:pt idx="67">
                    <c:v>Sept</c:v>
                  </c:pt>
                  <c:pt idx="68">
                    <c:v>Oct</c:v>
                  </c:pt>
                  <c:pt idx="69">
                    <c:v>Nov</c:v>
                  </c:pt>
                  <c:pt idx="70">
                    <c:v>Dec</c:v>
                  </c:pt>
                  <c:pt idx="71">
                    <c:v>Jan</c:v>
                  </c:pt>
                  <c:pt idx="72">
                    <c:v>Feb</c:v>
                  </c:pt>
                  <c:pt idx="73">
                    <c:v>Mar</c:v>
                  </c:pt>
                  <c:pt idx="74">
                    <c:v>Apr</c:v>
                  </c:pt>
                  <c:pt idx="75">
                    <c:v>May</c:v>
                  </c:pt>
                  <c:pt idx="76">
                    <c:v>Jun</c:v>
                  </c:pt>
                  <c:pt idx="77">
                    <c:v>Jul</c:v>
                  </c:pt>
                  <c:pt idx="78">
                    <c:v>Aug</c:v>
                  </c:pt>
                  <c:pt idx="79">
                    <c:v>Sept</c:v>
                  </c:pt>
                  <c:pt idx="80">
                    <c:v>Oct</c:v>
                  </c:pt>
                  <c:pt idx="81">
                    <c:v>Nov</c:v>
                  </c:pt>
                  <c:pt idx="82">
                    <c:v>Dec</c:v>
                  </c:pt>
                  <c:pt idx="83">
                    <c:v>Jan</c:v>
                  </c:pt>
                  <c:pt idx="84">
                    <c:v>Feb</c:v>
                  </c:pt>
                  <c:pt idx="85">
                    <c:v>Mar</c:v>
                  </c:pt>
                  <c:pt idx="86">
                    <c:v>Apr</c:v>
                  </c:pt>
                  <c:pt idx="87">
                    <c:v>May</c:v>
                  </c:pt>
                  <c:pt idx="88">
                    <c:v>Jun</c:v>
                  </c:pt>
                  <c:pt idx="89">
                    <c:v>Jul</c:v>
                  </c:pt>
                  <c:pt idx="90">
                    <c:v>Aug</c:v>
                  </c:pt>
                  <c:pt idx="91">
                    <c:v>Sept</c:v>
                  </c:pt>
                  <c:pt idx="92">
                    <c:v>Oct</c:v>
                  </c:pt>
                  <c:pt idx="93">
                    <c:v>Nov</c:v>
                  </c:pt>
                  <c:pt idx="94">
                    <c:v>Dec</c:v>
                  </c:pt>
                  <c:pt idx="95">
                    <c:v>Jan</c:v>
                  </c:pt>
                  <c:pt idx="96">
                    <c:v>Feb</c:v>
                  </c:pt>
                  <c:pt idx="97">
                    <c:v>Mar</c:v>
                  </c:pt>
                  <c:pt idx="98">
                    <c:v>Apr</c:v>
                  </c:pt>
                  <c:pt idx="99">
                    <c:v>May</c:v>
                  </c:pt>
                  <c:pt idx="100">
                    <c:v>Jun</c:v>
                  </c:pt>
                  <c:pt idx="101">
                    <c:v>Jul</c:v>
                  </c:pt>
                  <c:pt idx="102">
                    <c:v>Aug</c:v>
                  </c:pt>
                  <c:pt idx="103">
                    <c:v>Sept</c:v>
                  </c:pt>
                </c:lvl>
                <c:lvl>
                  <c:pt idx="0">
                    <c:v>2008</c:v>
                  </c:pt>
                  <c:pt idx="11">
                    <c:v>2009</c:v>
                  </c:pt>
                  <c:pt idx="23">
                    <c:v>2010</c:v>
                  </c:pt>
                  <c:pt idx="35">
                    <c:v>2011</c:v>
                  </c:pt>
                  <c:pt idx="47">
                    <c:v>2012</c:v>
                  </c:pt>
                  <c:pt idx="59">
                    <c:v>2013</c:v>
                  </c:pt>
                  <c:pt idx="71">
                    <c:v>2014</c:v>
                  </c:pt>
                  <c:pt idx="83">
                    <c:v>2015</c:v>
                  </c:pt>
                  <c:pt idx="95">
                    <c:v>2016</c:v>
                  </c:pt>
                </c:lvl>
              </c:multiLvlStrCache>
            </c:multiLvlStrRef>
          </c:cat>
          <c:val>
            <c:numRef>
              <c:f>'Monthly Pivot'!$D$300:$D$413</c:f>
              <c:numCache>
                <c:formatCode>0.0%</c:formatCode>
                <c:ptCount val="104"/>
                <c:pt idx="0">
                  <c:v>8.3349375914957419E-3</c:v>
                </c:pt>
                <c:pt idx="1">
                  <c:v>3.2882160983960896E-4</c:v>
                </c:pt>
                <c:pt idx="2">
                  <c:v>6.4260909557485556E-3</c:v>
                </c:pt>
                <c:pt idx="3">
                  <c:v>0.11484390232753297</c:v>
                </c:pt>
                <c:pt idx="4">
                  <c:v>3.2882710960020997E-3</c:v>
                </c:pt>
                <c:pt idx="5">
                  <c:v>2.5156866097414718E-3</c:v>
                </c:pt>
                <c:pt idx="6">
                  <c:v>3.6075791552858194E-3</c:v>
                </c:pt>
                <c:pt idx="7">
                  <c:v>2.4197441049001907E-3</c:v>
                </c:pt>
                <c:pt idx="8">
                  <c:v>6.5702420519074909E-3</c:v>
                </c:pt>
                <c:pt idx="9">
                  <c:v>1.6117433517634873E-2</c:v>
                </c:pt>
                <c:pt idx="10">
                  <c:v>5.9919502149328677E-3</c:v>
                </c:pt>
                <c:pt idx="11">
                  <c:v>2.5298097735711208E-3</c:v>
                </c:pt>
                <c:pt idx="12">
                  <c:v>0</c:v>
                </c:pt>
                <c:pt idx="13">
                  <c:v>0</c:v>
                </c:pt>
                <c:pt idx="14">
                  <c:v>8.1883959846249035E-3</c:v>
                </c:pt>
                <c:pt idx="15">
                  <c:v>2.1551071660232193E-2</c:v>
                </c:pt>
                <c:pt idx="16">
                  <c:v>1.9680677103590141E-2</c:v>
                </c:pt>
                <c:pt idx="17">
                  <c:v>3.006946680867234E-2</c:v>
                </c:pt>
                <c:pt idx="18">
                  <c:v>4.2780003249366393E-2</c:v>
                </c:pt>
                <c:pt idx="19">
                  <c:v>2.4206475688200127E-2</c:v>
                </c:pt>
                <c:pt idx="20">
                  <c:v>5.09358184418916E-2</c:v>
                </c:pt>
                <c:pt idx="21">
                  <c:v>7.6623724436542348E-2</c:v>
                </c:pt>
                <c:pt idx="22">
                  <c:v>9.8796094425183459E-2</c:v>
                </c:pt>
                <c:pt idx="23">
                  <c:v>0.16804948159727301</c:v>
                </c:pt>
                <c:pt idx="24">
                  <c:v>0.29550854387183517</c:v>
                </c:pt>
                <c:pt idx="25">
                  <c:v>0.3471007380530875</c:v>
                </c:pt>
                <c:pt idx="26">
                  <c:v>0.4408182965671894</c:v>
                </c:pt>
                <c:pt idx="27">
                  <c:v>0.49117381395557835</c:v>
                </c:pt>
                <c:pt idx="28">
                  <c:v>0.5446444216867069</c:v>
                </c:pt>
                <c:pt idx="29">
                  <c:v>0.59747222142604639</c:v>
                </c:pt>
                <c:pt idx="30">
                  <c:v>0.64528170952456154</c:v>
                </c:pt>
                <c:pt idx="31">
                  <c:v>0.63541069162642805</c:v>
                </c:pt>
                <c:pt idx="32">
                  <c:v>0.65934023498833727</c:v>
                </c:pt>
                <c:pt idx="33">
                  <c:v>0.69688338635389202</c:v>
                </c:pt>
                <c:pt idx="34">
                  <c:v>0.71116673272487385</c:v>
                </c:pt>
                <c:pt idx="35">
                  <c:v>0.72315800655674256</c:v>
                </c:pt>
                <c:pt idx="36">
                  <c:v>0.74519737411854603</c:v>
                </c:pt>
                <c:pt idx="37">
                  <c:v>0.75174960035689053</c:v>
                </c:pt>
                <c:pt idx="38">
                  <c:v>0.75444307445780023</c:v>
                </c:pt>
                <c:pt idx="39">
                  <c:v>0.76268295816260256</c:v>
                </c:pt>
                <c:pt idx="40">
                  <c:v>0.77196216980106536</c:v>
                </c:pt>
                <c:pt idx="41">
                  <c:v>0.71899797812533184</c:v>
                </c:pt>
                <c:pt idx="42">
                  <c:v>0.73128378604959399</c:v>
                </c:pt>
                <c:pt idx="43">
                  <c:v>0.78643871073469174</c:v>
                </c:pt>
                <c:pt idx="44">
                  <c:v>0.8069770600687084</c:v>
                </c:pt>
                <c:pt idx="45">
                  <c:v>0.77666453673859426</c:v>
                </c:pt>
                <c:pt idx="46">
                  <c:v>0.78143192283774343</c:v>
                </c:pt>
                <c:pt idx="47">
                  <c:v>0.7780356296076445</c:v>
                </c:pt>
                <c:pt idx="48">
                  <c:v>0.83038224258679427</c:v>
                </c:pt>
                <c:pt idx="49">
                  <c:v>0.84200363973612113</c:v>
                </c:pt>
                <c:pt idx="50">
                  <c:v>0.85149054153746973</c:v>
                </c:pt>
                <c:pt idx="51">
                  <c:v>0.8621611995382078</c:v>
                </c:pt>
                <c:pt idx="52">
                  <c:v>0.865215422322274</c:v>
                </c:pt>
                <c:pt idx="53">
                  <c:v>0.86858308968741504</c:v>
                </c:pt>
                <c:pt idx="54">
                  <c:v>0.85892827859150278</c:v>
                </c:pt>
                <c:pt idx="55">
                  <c:v>0.81654999719559029</c:v>
                </c:pt>
                <c:pt idx="56">
                  <c:v>0.86083295938956483</c:v>
                </c:pt>
                <c:pt idx="57">
                  <c:v>0.87644320496355965</c:v>
                </c:pt>
                <c:pt idx="58">
                  <c:v>0.88971645554155443</c:v>
                </c:pt>
                <c:pt idx="59">
                  <c:v>0.88925317683731731</c:v>
                </c:pt>
                <c:pt idx="60">
                  <c:v>0.893309673055102</c:v>
                </c:pt>
                <c:pt idx="61">
                  <c:v>0.90058093950216767</c:v>
                </c:pt>
                <c:pt idx="62">
                  <c:v>0.89287349506842217</c:v>
                </c:pt>
                <c:pt idx="63">
                  <c:v>0.90021048080510369</c:v>
                </c:pt>
                <c:pt idx="64">
                  <c:v>0.90438936179922902</c:v>
                </c:pt>
                <c:pt idx="65">
                  <c:v>0.90436807716193779</c:v>
                </c:pt>
                <c:pt idx="66">
                  <c:v>0.90991440632146303</c:v>
                </c:pt>
                <c:pt idx="67">
                  <c:v>0.91902218697943161</c:v>
                </c:pt>
                <c:pt idx="68">
                  <c:v>0.94305381877340189</c:v>
                </c:pt>
                <c:pt idx="69">
                  <c:v>0.9449112368074829</c:v>
                </c:pt>
                <c:pt idx="70">
                  <c:v>0.94674601346574716</c:v>
                </c:pt>
                <c:pt idx="71">
                  <c:v>0.94569840536796057</c:v>
                </c:pt>
                <c:pt idx="72">
                  <c:v>0.9475821409861197</c:v>
                </c:pt>
                <c:pt idx="73">
                  <c:v>0.94905864092186687</c:v>
                </c:pt>
                <c:pt idx="74">
                  <c:v>0.95992833904267383</c:v>
                </c:pt>
                <c:pt idx="75">
                  <c:v>0.96480223721098313</c:v>
                </c:pt>
                <c:pt idx="76">
                  <c:v>0.96355060414784888</c:v>
                </c:pt>
                <c:pt idx="77">
                  <c:v>0.96336741211066845</c:v>
                </c:pt>
                <c:pt idx="78">
                  <c:v>0.96606215952415364</c:v>
                </c:pt>
                <c:pt idx="79">
                  <c:v>0.96721935099418621</c:v>
                </c:pt>
                <c:pt idx="80">
                  <c:v>0.96649725174833756</c:v>
                </c:pt>
                <c:pt idx="81">
                  <c:v>0.96227576409231075</c:v>
                </c:pt>
                <c:pt idx="83">
                  <c:v>0.3106697261209353</c:v>
                </c:pt>
                <c:pt idx="84">
                  <c:v>0.43567989323817768</c:v>
                </c:pt>
                <c:pt idx="85">
                  <c:v>0.4988889058734739</c:v>
                </c:pt>
                <c:pt idx="86">
                  <c:v>0.51245547920409051</c:v>
                </c:pt>
                <c:pt idx="87">
                  <c:v>0.59721413521383238</c:v>
                </c:pt>
                <c:pt idx="88">
                  <c:v>0.62744698695512391</c:v>
                </c:pt>
                <c:pt idx="89">
                  <c:v>0.6556767517440425</c:v>
                </c:pt>
                <c:pt idx="90">
                  <c:v>0.70127303957293519</c:v>
                </c:pt>
                <c:pt idx="91">
                  <c:v>0.73728881092399956</c:v>
                </c:pt>
                <c:pt idx="92">
                  <c:v>0.76241627905814879</c:v>
                </c:pt>
                <c:pt idx="93">
                  <c:v>0.76812113237115864</c:v>
                </c:pt>
                <c:pt idx="94">
                  <c:v>0.77451028654263454</c:v>
                </c:pt>
                <c:pt idx="95">
                  <c:v>0.80408518835510456</c:v>
                </c:pt>
                <c:pt idx="96">
                  <c:v>0.82180533260850608</c:v>
                </c:pt>
                <c:pt idx="97">
                  <c:v>0.84624253715596964</c:v>
                </c:pt>
                <c:pt idx="98">
                  <c:v>0.85784601535045002</c:v>
                </c:pt>
                <c:pt idx="99">
                  <c:v>0.86039695893476553</c:v>
                </c:pt>
                <c:pt idx="100">
                  <c:v>0.86484887831998392</c:v>
                </c:pt>
                <c:pt idx="101">
                  <c:v>0.86848581539711089</c:v>
                </c:pt>
                <c:pt idx="102">
                  <c:v>0.88351157630115751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4D-46C1-ACCB-A6AF14C32044}"/>
            </c:ext>
          </c:extLst>
        </c:ser>
        <c:ser>
          <c:idx val="3"/>
          <c:order val="3"/>
          <c:tx>
            <c:strRef>
              <c:f>'Monthly Pivot'!$E$298:$E$299</c:f>
              <c:strCache>
                <c:ptCount val="1"/>
                <c:pt idx="0">
                  <c:v>15/9-F-14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'Monthly Pivot'!$A$300:$A$413</c:f>
              <c:multiLvlStrCache>
                <c:ptCount val="104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Apr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Aug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Dec</c:v>
                  </c:pt>
                  <c:pt idx="23">
                    <c:v>Jan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Apr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Aug</c:v>
                  </c:pt>
                  <c:pt idx="31">
                    <c:v>Sept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Jan</c:v>
                  </c:pt>
                  <c:pt idx="36">
                    <c:v>Feb</c:v>
                  </c:pt>
                  <c:pt idx="37">
                    <c:v>Mar</c:v>
                  </c:pt>
                  <c:pt idx="38">
                    <c:v>Apr</c:v>
                  </c:pt>
                  <c:pt idx="39">
                    <c:v>May</c:v>
                  </c:pt>
                  <c:pt idx="40">
                    <c:v>Jun</c:v>
                  </c:pt>
                  <c:pt idx="41">
                    <c:v>Jul</c:v>
                  </c:pt>
                  <c:pt idx="42">
                    <c:v>Aug</c:v>
                  </c:pt>
                  <c:pt idx="43">
                    <c:v>Sept</c:v>
                  </c:pt>
                  <c:pt idx="44">
                    <c:v>Oct</c:v>
                  </c:pt>
                  <c:pt idx="45">
                    <c:v>Nov</c:v>
                  </c:pt>
                  <c:pt idx="46">
                    <c:v>Dec</c:v>
                  </c:pt>
                  <c:pt idx="47">
                    <c:v>Jan</c:v>
                  </c:pt>
                  <c:pt idx="48">
                    <c:v>Feb</c:v>
                  </c:pt>
                  <c:pt idx="49">
                    <c:v>Mar</c:v>
                  </c:pt>
                  <c:pt idx="50">
                    <c:v>Apr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Jul</c:v>
                  </c:pt>
                  <c:pt idx="54">
                    <c:v>Aug</c:v>
                  </c:pt>
                  <c:pt idx="55">
                    <c:v>Sept</c:v>
                  </c:pt>
                  <c:pt idx="56">
                    <c:v>Oct</c:v>
                  </c:pt>
                  <c:pt idx="57">
                    <c:v>Nov</c:v>
                  </c:pt>
                  <c:pt idx="58">
                    <c:v>Dec</c:v>
                  </c:pt>
                  <c:pt idx="59">
                    <c:v>Jan</c:v>
                  </c:pt>
                  <c:pt idx="60">
                    <c:v>Feb</c:v>
                  </c:pt>
                  <c:pt idx="61">
                    <c:v>Mar</c:v>
                  </c:pt>
                  <c:pt idx="62">
                    <c:v>Apr</c:v>
                  </c:pt>
                  <c:pt idx="63">
                    <c:v>May</c:v>
                  </c:pt>
                  <c:pt idx="64">
                    <c:v>Jun</c:v>
                  </c:pt>
                  <c:pt idx="65">
                    <c:v>Jul</c:v>
                  </c:pt>
                  <c:pt idx="66">
                    <c:v>Aug</c:v>
                  </c:pt>
                  <c:pt idx="67">
                    <c:v>Sept</c:v>
                  </c:pt>
                  <c:pt idx="68">
                    <c:v>Oct</c:v>
                  </c:pt>
                  <c:pt idx="69">
                    <c:v>Nov</c:v>
                  </c:pt>
                  <c:pt idx="70">
                    <c:v>Dec</c:v>
                  </c:pt>
                  <c:pt idx="71">
                    <c:v>Jan</c:v>
                  </c:pt>
                  <c:pt idx="72">
                    <c:v>Feb</c:v>
                  </c:pt>
                  <c:pt idx="73">
                    <c:v>Mar</c:v>
                  </c:pt>
                  <c:pt idx="74">
                    <c:v>Apr</c:v>
                  </c:pt>
                  <c:pt idx="75">
                    <c:v>May</c:v>
                  </c:pt>
                  <c:pt idx="76">
                    <c:v>Jun</c:v>
                  </c:pt>
                  <c:pt idx="77">
                    <c:v>Jul</c:v>
                  </c:pt>
                  <c:pt idx="78">
                    <c:v>Aug</c:v>
                  </c:pt>
                  <c:pt idx="79">
                    <c:v>Sept</c:v>
                  </c:pt>
                  <c:pt idx="80">
                    <c:v>Oct</c:v>
                  </c:pt>
                  <c:pt idx="81">
                    <c:v>Nov</c:v>
                  </c:pt>
                  <c:pt idx="82">
                    <c:v>Dec</c:v>
                  </c:pt>
                  <c:pt idx="83">
                    <c:v>Jan</c:v>
                  </c:pt>
                  <c:pt idx="84">
                    <c:v>Feb</c:v>
                  </c:pt>
                  <c:pt idx="85">
                    <c:v>Mar</c:v>
                  </c:pt>
                  <c:pt idx="86">
                    <c:v>Apr</c:v>
                  </c:pt>
                  <c:pt idx="87">
                    <c:v>May</c:v>
                  </c:pt>
                  <c:pt idx="88">
                    <c:v>Jun</c:v>
                  </c:pt>
                  <c:pt idx="89">
                    <c:v>Jul</c:v>
                  </c:pt>
                  <c:pt idx="90">
                    <c:v>Aug</c:v>
                  </c:pt>
                  <c:pt idx="91">
                    <c:v>Sept</c:v>
                  </c:pt>
                  <c:pt idx="92">
                    <c:v>Oct</c:v>
                  </c:pt>
                  <c:pt idx="93">
                    <c:v>Nov</c:v>
                  </c:pt>
                  <c:pt idx="94">
                    <c:v>Dec</c:v>
                  </c:pt>
                  <c:pt idx="95">
                    <c:v>Jan</c:v>
                  </c:pt>
                  <c:pt idx="96">
                    <c:v>Feb</c:v>
                  </c:pt>
                  <c:pt idx="97">
                    <c:v>Mar</c:v>
                  </c:pt>
                  <c:pt idx="98">
                    <c:v>Apr</c:v>
                  </c:pt>
                  <c:pt idx="99">
                    <c:v>May</c:v>
                  </c:pt>
                  <c:pt idx="100">
                    <c:v>Jun</c:v>
                  </c:pt>
                  <c:pt idx="101">
                    <c:v>Jul</c:v>
                  </c:pt>
                  <c:pt idx="102">
                    <c:v>Aug</c:v>
                  </c:pt>
                  <c:pt idx="103">
                    <c:v>Sept</c:v>
                  </c:pt>
                </c:lvl>
                <c:lvl>
                  <c:pt idx="0">
                    <c:v>2008</c:v>
                  </c:pt>
                  <c:pt idx="11">
                    <c:v>2009</c:v>
                  </c:pt>
                  <c:pt idx="23">
                    <c:v>2010</c:v>
                  </c:pt>
                  <c:pt idx="35">
                    <c:v>2011</c:v>
                  </c:pt>
                  <c:pt idx="47">
                    <c:v>2012</c:v>
                  </c:pt>
                  <c:pt idx="59">
                    <c:v>2013</c:v>
                  </c:pt>
                  <c:pt idx="71">
                    <c:v>2014</c:v>
                  </c:pt>
                  <c:pt idx="83">
                    <c:v>2015</c:v>
                  </c:pt>
                  <c:pt idx="95">
                    <c:v>2016</c:v>
                  </c:pt>
                </c:lvl>
              </c:multiLvlStrCache>
            </c:multiLvlStrRef>
          </c:cat>
          <c:val>
            <c:numRef>
              <c:f>'Monthly Pivot'!$E$300:$E$413</c:f>
              <c:numCache>
                <c:formatCode>0.0%</c:formatCode>
                <c:ptCount val="104"/>
                <c:pt idx="5">
                  <c:v>2.454132120887938E-3</c:v>
                </c:pt>
                <c:pt idx="6">
                  <c:v>3.2800378163169979E-3</c:v>
                </c:pt>
                <c:pt idx="7">
                  <c:v>2.4003240476638391E-3</c:v>
                </c:pt>
                <c:pt idx="8">
                  <c:v>7.0844666439170739E-4</c:v>
                </c:pt>
                <c:pt idx="9">
                  <c:v>1.8154006472306272E-3</c:v>
                </c:pt>
                <c:pt idx="10">
                  <c:v>6.0345082456195415E-4</c:v>
                </c:pt>
                <c:pt idx="11">
                  <c:v>8.3894141978859797E-3</c:v>
                </c:pt>
                <c:pt idx="12">
                  <c:v>2.1726958337506791E-2</c:v>
                </c:pt>
                <c:pt idx="13">
                  <c:v>1.8177237406958056E-2</c:v>
                </c:pt>
                <c:pt idx="14">
                  <c:v>2.8267978185245578E-3</c:v>
                </c:pt>
                <c:pt idx="15">
                  <c:v>2.8759331285041045E-2</c:v>
                </c:pt>
                <c:pt idx="16">
                  <c:v>6.2035687314019212E-2</c:v>
                </c:pt>
                <c:pt idx="17">
                  <c:v>9.4532382435230586E-2</c:v>
                </c:pt>
                <c:pt idx="18">
                  <c:v>0.15600723489893409</c:v>
                </c:pt>
                <c:pt idx="19">
                  <c:v>0.14461436270930722</c:v>
                </c:pt>
                <c:pt idx="20">
                  <c:v>0.21252202043574608</c:v>
                </c:pt>
                <c:pt idx="21">
                  <c:v>0.28466703803700494</c:v>
                </c:pt>
                <c:pt idx="22">
                  <c:v>0.38557402587739514</c:v>
                </c:pt>
                <c:pt idx="23">
                  <c:v>0.4598717126135512</c:v>
                </c:pt>
                <c:pt idx="24">
                  <c:v>0.49962636962548235</c:v>
                </c:pt>
                <c:pt idx="25">
                  <c:v>0.49077005642717109</c:v>
                </c:pt>
                <c:pt idx="26">
                  <c:v>0.48890666497225493</c:v>
                </c:pt>
                <c:pt idx="27">
                  <c:v>0.49279756235851241</c:v>
                </c:pt>
                <c:pt idx="28">
                  <c:v>0.5618738973373435</c:v>
                </c:pt>
                <c:pt idx="29">
                  <c:v>0.5925439916261066</c:v>
                </c:pt>
                <c:pt idx="30">
                  <c:v>0.59507647736617186</c:v>
                </c:pt>
                <c:pt idx="31">
                  <c:v>0.54553123264373504</c:v>
                </c:pt>
                <c:pt idx="32">
                  <c:v>0.56175091935675492</c:v>
                </c:pt>
                <c:pt idx="33">
                  <c:v>0.60786522728096193</c:v>
                </c:pt>
                <c:pt idx="34">
                  <c:v>0.63603124972048408</c:v>
                </c:pt>
                <c:pt idx="35">
                  <c:v>0.64446547804717402</c:v>
                </c:pt>
                <c:pt idx="36">
                  <c:v>0.64335653638877277</c:v>
                </c:pt>
                <c:pt idx="37">
                  <c:v>0.67447018420890537</c:v>
                </c:pt>
                <c:pt idx="38">
                  <c:v>0.70199066141271449</c:v>
                </c:pt>
                <c:pt idx="39">
                  <c:v>0.71670471525403667</c:v>
                </c:pt>
                <c:pt idx="40">
                  <c:v>0.72260026563920599</c:v>
                </c:pt>
                <c:pt idx="41">
                  <c:v>0.67518173215752775</c:v>
                </c:pt>
                <c:pt idx="42">
                  <c:v>0.68657067199109079</c:v>
                </c:pt>
                <c:pt idx="43">
                  <c:v>0.72405315496819267</c:v>
                </c:pt>
                <c:pt idx="44">
                  <c:v>0.7214738853389292</c:v>
                </c:pt>
                <c:pt idx="45">
                  <c:v>0.67740219393708645</c:v>
                </c:pt>
                <c:pt idx="46">
                  <c:v>0.6854192044327696</c:v>
                </c:pt>
                <c:pt idx="47">
                  <c:v>0.6780620130639069</c:v>
                </c:pt>
                <c:pt idx="48">
                  <c:v>0.60034472459502464</c:v>
                </c:pt>
                <c:pt idx="49">
                  <c:v>0.63414719152587884</c:v>
                </c:pt>
                <c:pt idx="50">
                  <c:v>0.66603141225434859</c:v>
                </c:pt>
                <c:pt idx="51">
                  <c:v>0.70277133064590336</c:v>
                </c:pt>
                <c:pt idx="52">
                  <c:v>0.71689208067072119</c:v>
                </c:pt>
                <c:pt idx="53">
                  <c:v>0.7181165936003221</c:v>
                </c:pt>
                <c:pt idx="54">
                  <c:v>0.72381666244442522</c:v>
                </c:pt>
                <c:pt idx="55">
                  <c:v>0.63809702904048959</c:v>
                </c:pt>
                <c:pt idx="56">
                  <c:v>0.63891414748514452</c:v>
                </c:pt>
                <c:pt idx="57">
                  <c:v>0.71404595512543967</c:v>
                </c:pt>
                <c:pt idx="58">
                  <c:v>0.75637865573872587</c:v>
                </c:pt>
                <c:pt idx="59">
                  <c:v>0.76775425998907587</c:v>
                </c:pt>
                <c:pt idx="60">
                  <c:v>0.77597372623027105</c:v>
                </c:pt>
                <c:pt idx="61">
                  <c:v>0.78960731809966622</c:v>
                </c:pt>
                <c:pt idx="62">
                  <c:v>0.77644497451666095</c:v>
                </c:pt>
                <c:pt idx="63">
                  <c:v>0.79840699318506114</c:v>
                </c:pt>
                <c:pt idx="64">
                  <c:v>0.80729434844419101</c:v>
                </c:pt>
                <c:pt idx="65">
                  <c:v>0.80713072871810698</c:v>
                </c:pt>
                <c:pt idx="66">
                  <c:v>0.80846104497636884</c:v>
                </c:pt>
                <c:pt idx="67">
                  <c:v>0.83834391231953387</c:v>
                </c:pt>
                <c:pt idx="68">
                  <c:v>0.8399135272566407</c:v>
                </c:pt>
                <c:pt idx="69">
                  <c:v>0.84348968948062841</c:v>
                </c:pt>
                <c:pt idx="70">
                  <c:v>0.86262838610469605</c:v>
                </c:pt>
                <c:pt idx="71">
                  <c:v>0.86478999827569891</c:v>
                </c:pt>
                <c:pt idx="72">
                  <c:v>0.86720677403164359</c:v>
                </c:pt>
                <c:pt idx="73">
                  <c:v>0.8715837961833145</c:v>
                </c:pt>
                <c:pt idx="74">
                  <c:v>0.86352942610310257</c:v>
                </c:pt>
                <c:pt idx="75">
                  <c:v>0.87876936102559344</c:v>
                </c:pt>
                <c:pt idx="76">
                  <c:v>0.88637205885277004</c:v>
                </c:pt>
                <c:pt idx="77">
                  <c:v>0.88084187774973055</c:v>
                </c:pt>
                <c:pt idx="78">
                  <c:v>0.90747567624962511</c:v>
                </c:pt>
                <c:pt idx="79">
                  <c:v>0.9105439778036396</c:v>
                </c:pt>
                <c:pt idx="80">
                  <c:v>0.91241087201087767</c:v>
                </c:pt>
                <c:pt idx="81">
                  <c:v>0.90870797972915485</c:v>
                </c:pt>
                <c:pt idx="82">
                  <c:v>0.91207145557157221</c:v>
                </c:pt>
                <c:pt idx="83">
                  <c:v>0.91242107341215684</c:v>
                </c:pt>
                <c:pt idx="84">
                  <c:v>0.92750390160857155</c:v>
                </c:pt>
                <c:pt idx="85">
                  <c:v>0.93015231463555825</c:v>
                </c:pt>
                <c:pt idx="86">
                  <c:v>0.92946892685639981</c:v>
                </c:pt>
                <c:pt idx="87">
                  <c:v>0.93506451858483008</c:v>
                </c:pt>
                <c:pt idx="88">
                  <c:v>0.9429716170128809</c:v>
                </c:pt>
                <c:pt idx="89">
                  <c:v>0.93471541385870238</c:v>
                </c:pt>
                <c:pt idx="90">
                  <c:v>0.94227371010483241</c:v>
                </c:pt>
                <c:pt idx="91">
                  <c:v>0.94098309218440535</c:v>
                </c:pt>
                <c:pt idx="92">
                  <c:v>0.94555681878897768</c:v>
                </c:pt>
                <c:pt idx="93">
                  <c:v>0.94648321296992577</c:v>
                </c:pt>
                <c:pt idx="94">
                  <c:v>0.94829077839566667</c:v>
                </c:pt>
                <c:pt idx="95">
                  <c:v>0.95473102684296896</c:v>
                </c:pt>
                <c:pt idx="96">
                  <c:v>0.95634787831886769</c:v>
                </c:pt>
                <c:pt idx="97">
                  <c:v>0.96315217451054758</c:v>
                </c:pt>
                <c:pt idx="98">
                  <c:v>0.96725411415950946</c:v>
                </c:pt>
                <c:pt idx="99">
                  <c:v>0.96531348717581655</c:v>
                </c:pt>
                <c:pt idx="100">
                  <c:v>0.96637685438039711</c:v>
                </c:pt>
                <c:pt idx="101">
                  <c:v>0.96616825661190975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4D-46C1-ACCB-A6AF14C32044}"/>
            </c:ext>
          </c:extLst>
        </c:ser>
        <c:ser>
          <c:idx val="4"/>
          <c:order val="4"/>
          <c:tx>
            <c:strRef>
              <c:f>'Monthly Pivot'!$F$298:$F$299</c:f>
              <c:strCache>
                <c:ptCount val="1"/>
                <c:pt idx="0">
                  <c:v>15/9-F-15 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'Monthly Pivot'!$A$300:$A$413</c:f>
              <c:multiLvlStrCache>
                <c:ptCount val="104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Apr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Aug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Dec</c:v>
                  </c:pt>
                  <c:pt idx="23">
                    <c:v>Jan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Apr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Aug</c:v>
                  </c:pt>
                  <c:pt idx="31">
                    <c:v>Sept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Jan</c:v>
                  </c:pt>
                  <c:pt idx="36">
                    <c:v>Feb</c:v>
                  </c:pt>
                  <c:pt idx="37">
                    <c:v>Mar</c:v>
                  </c:pt>
                  <c:pt idx="38">
                    <c:v>Apr</c:v>
                  </c:pt>
                  <c:pt idx="39">
                    <c:v>May</c:v>
                  </c:pt>
                  <c:pt idx="40">
                    <c:v>Jun</c:v>
                  </c:pt>
                  <c:pt idx="41">
                    <c:v>Jul</c:v>
                  </c:pt>
                  <c:pt idx="42">
                    <c:v>Aug</c:v>
                  </c:pt>
                  <c:pt idx="43">
                    <c:v>Sept</c:v>
                  </c:pt>
                  <c:pt idx="44">
                    <c:v>Oct</c:v>
                  </c:pt>
                  <c:pt idx="45">
                    <c:v>Nov</c:v>
                  </c:pt>
                  <c:pt idx="46">
                    <c:v>Dec</c:v>
                  </c:pt>
                  <c:pt idx="47">
                    <c:v>Jan</c:v>
                  </c:pt>
                  <c:pt idx="48">
                    <c:v>Feb</c:v>
                  </c:pt>
                  <c:pt idx="49">
                    <c:v>Mar</c:v>
                  </c:pt>
                  <c:pt idx="50">
                    <c:v>Apr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Jul</c:v>
                  </c:pt>
                  <c:pt idx="54">
                    <c:v>Aug</c:v>
                  </c:pt>
                  <c:pt idx="55">
                    <c:v>Sept</c:v>
                  </c:pt>
                  <c:pt idx="56">
                    <c:v>Oct</c:v>
                  </c:pt>
                  <c:pt idx="57">
                    <c:v>Nov</c:v>
                  </c:pt>
                  <c:pt idx="58">
                    <c:v>Dec</c:v>
                  </c:pt>
                  <c:pt idx="59">
                    <c:v>Jan</c:v>
                  </c:pt>
                  <c:pt idx="60">
                    <c:v>Feb</c:v>
                  </c:pt>
                  <c:pt idx="61">
                    <c:v>Mar</c:v>
                  </c:pt>
                  <c:pt idx="62">
                    <c:v>Apr</c:v>
                  </c:pt>
                  <c:pt idx="63">
                    <c:v>May</c:v>
                  </c:pt>
                  <c:pt idx="64">
                    <c:v>Jun</c:v>
                  </c:pt>
                  <c:pt idx="65">
                    <c:v>Jul</c:v>
                  </c:pt>
                  <c:pt idx="66">
                    <c:v>Aug</c:v>
                  </c:pt>
                  <c:pt idx="67">
                    <c:v>Sept</c:v>
                  </c:pt>
                  <c:pt idx="68">
                    <c:v>Oct</c:v>
                  </c:pt>
                  <c:pt idx="69">
                    <c:v>Nov</c:v>
                  </c:pt>
                  <c:pt idx="70">
                    <c:v>Dec</c:v>
                  </c:pt>
                  <c:pt idx="71">
                    <c:v>Jan</c:v>
                  </c:pt>
                  <c:pt idx="72">
                    <c:v>Feb</c:v>
                  </c:pt>
                  <c:pt idx="73">
                    <c:v>Mar</c:v>
                  </c:pt>
                  <c:pt idx="74">
                    <c:v>Apr</c:v>
                  </c:pt>
                  <c:pt idx="75">
                    <c:v>May</c:v>
                  </c:pt>
                  <c:pt idx="76">
                    <c:v>Jun</c:v>
                  </c:pt>
                  <c:pt idx="77">
                    <c:v>Jul</c:v>
                  </c:pt>
                  <c:pt idx="78">
                    <c:v>Aug</c:v>
                  </c:pt>
                  <c:pt idx="79">
                    <c:v>Sept</c:v>
                  </c:pt>
                  <c:pt idx="80">
                    <c:v>Oct</c:v>
                  </c:pt>
                  <c:pt idx="81">
                    <c:v>Nov</c:v>
                  </c:pt>
                  <c:pt idx="82">
                    <c:v>Dec</c:v>
                  </c:pt>
                  <c:pt idx="83">
                    <c:v>Jan</c:v>
                  </c:pt>
                  <c:pt idx="84">
                    <c:v>Feb</c:v>
                  </c:pt>
                  <c:pt idx="85">
                    <c:v>Mar</c:v>
                  </c:pt>
                  <c:pt idx="86">
                    <c:v>Apr</c:v>
                  </c:pt>
                  <c:pt idx="87">
                    <c:v>May</c:v>
                  </c:pt>
                  <c:pt idx="88">
                    <c:v>Jun</c:v>
                  </c:pt>
                  <c:pt idx="89">
                    <c:v>Jul</c:v>
                  </c:pt>
                  <c:pt idx="90">
                    <c:v>Aug</c:v>
                  </c:pt>
                  <c:pt idx="91">
                    <c:v>Sept</c:v>
                  </c:pt>
                  <c:pt idx="92">
                    <c:v>Oct</c:v>
                  </c:pt>
                  <c:pt idx="93">
                    <c:v>Nov</c:v>
                  </c:pt>
                  <c:pt idx="94">
                    <c:v>Dec</c:v>
                  </c:pt>
                  <c:pt idx="95">
                    <c:v>Jan</c:v>
                  </c:pt>
                  <c:pt idx="96">
                    <c:v>Feb</c:v>
                  </c:pt>
                  <c:pt idx="97">
                    <c:v>Mar</c:v>
                  </c:pt>
                  <c:pt idx="98">
                    <c:v>Apr</c:v>
                  </c:pt>
                  <c:pt idx="99">
                    <c:v>May</c:v>
                  </c:pt>
                  <c:pt idx="100">
                    <c:v>Jun</c:v>
                  </c:pt>
                  <c:pt idx="101">
                    <c:v>Jul</c:v>
                  </c:pt>
                  <c:pt idx="102">
                    <c:v>Aug</c:v>
                  </c:pt>
                  <c:pt idx="103">
                    <c:v>Sept</c:v>
                  </c:pt>
                </c:lvl>
                <c:lvl>
                  <c:pt idx="0">
                    <c:v>2008</c:v>
                  </c:pt>
                  <c:pt idx="11">
                    <c:v>2009</c:v>
                  </c:pt>
                  <c:pt idx="23">
                    <c:v>2010</c:v>
                  </c:pt>
                  <c:pt idx="35">
                    <c:v>2011</c:v>
                  </c:pt>
                  <c:pt idx="47">
                    <c:v>2012</c:v>
                  </c:pt>
                  <c:pt idx="59">
                    <c:v>2013</c:v>
                  </c:pt>
                  <c:pt idx="71">
                    <c:v>2014</c:v>
                  </c:pt>
                  <c:pt idx="83">
                    <c:v>2015</c:v>
                  </c:pt>
                  <c:pt idx="95">
                    <c:v>2016</c:v>
                  </c:pt>
                </c:lvl>
              </c:multiLvlStrCache>
            </c:multiLvlStrRef>
          </c:cat>
          <c:val>
            <c:numRef>
              <c:f>'Monthly Pivot'!$F$300:$F$413</c:f>
              <c:numCache>
                <c:formatCode>0.0%</c:formatCode>
                <c:ptCount val="104"/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3.0897181253433631E-2</c:v>
                </c:pt>
                <c:pt idx="81">
                  <c:v>3.9287620335779087E-2</c:v>
                </c:pt>
                <c:pt idx="83">
                  <c:v>3.3605032911228627E-2</c:v>
                </c:pt>
                <c:pt idx="84">
                  <c:v>5.3507235118629502E-2</c:v>
                </c:pt>
                <c:pt idx="85">
                  <c:v>6.9710862191973824E-2</c:v>
                </c:pt>
                <c:pt idx="86">
                  <c:v>6.9469959261241387E-2</c:v>
                </c:pt>
                <c:pt idx="87">
                  <c:v>6.921758916263164E-2</c:v>
                </c:pt>
                <c:pt idx="88">
                  <c:v>7.3677720304141381E-2</c:v>
                </c:pt>
                <c:pt idx="89">
                  <c:v>7.6242159128425233E-2</c:v>
                </c:pt>
                <c:pt idx="90">
                  <c:v>0.3416442011317109</c:v>
                </c:pt>
                <c:pt idx="91">
                  <c:v>0.34958176845431893</c:v>
                </c:pt>
                <c:pt idx="92">
                  <c:v>0.36375501857059078</c:v>
                </c:pt>
                <c:pt idx="93">
                  <c:v>0.41108201029628827</c:v>
                </c:pt>
                <c:pt idx="94">
                  <c:v>0.50784894016796434</c:v>
                </c:pt>
                <c:pt idx="95">
                  <c:v>0.55795095904486958</c:v>
                </c:pt>
                <c:pt idx="96">
                  <c:v>0.53553023312894588</c:v>
                </c:pt>
                <c:pt idx="97">
                  <c:v>0.57329785404988731</c:v>
                </c:pt>
                <c:pt idx="98">
                  <c:v>0.55589869686657689</c:v>
                </c:pt>
                <c:pt idx="99">
                  <c:v>0.56096902404341165</c:v>
                </c:pt>
                <c:pt idx="100">
                  <c:v>0.60879268070938664</c:v>
                </c:pt>
                <c:pt idx="101">
                  <c:v>0.58587029863801077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4D-46C1-ACCB-A6AF14C32044}"/>
            </c:ext>
          </c:extLst>
        </c:ser>
        <c:ser>
          <c:idx val="5"/>
          <c:order val="5"/>
          <c:tx>
            <c:strRef>
              <c:f>'Monthly Pivot'!$G$298:$G$299</c:f>
              <c:strCache>
                <c:ptCount val="1"/>
                <c:pt idx="0">
                  <c:v>15/9-F-5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'Monthly Pivot'!$A$300:$A$413</c:f>
              <c:multiLvlStrCache>
                <c:ptCount val="104"/>
                <c:lvl>
                  <c:pt idx="0">
                    <c:v>Feb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Apr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Aug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Dec</c:v>
                  </c:pt>
                  <c:pt idx="23">
                    <c:v>Jan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Apr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Aug</c:v>
                  </c:pt>
                  <c:pt idx="31">
                    <c:v>Sept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Jan</c:v>
                  </c:pt>
                  <c:pt idx="36">
                    <c:v>Feb</c:v>
                  </c:pt>
                  <c:pt idx="37">
                    <c:v>Mar</c:v>
                  </c:pt>
                  <c:pt idx="38">
                    <c:v>Apr</c:v>
                  </c:pt>
                  <c:pt idx="39">
                    <c:v>May</c:v>
                  </c:pt>
                  <c:pt idx="40">
                    <c:v>Jun</c:v>
                  </c:pt>
                  <c:pt idx="41">
                    <c:v>Jul</c:v>
                  </c:pt>
                  <c:pt idx="42">
                    <c:v>Aug</c:v>
                  </c:pt>
                  <c:pt idx="43">
                    <c:v>Sept</c:v>
                  </c:pt>
                  <c:pt idx="44">
                    <c:v>Oct</c:v>
                  </c:pt>
                  <c:pt idx="45">
                    <c:v>Nov</c:v>
                  </c:pt>
                  <c:pt idx="46">
                    <c:v>Dec</c:v>
                  </c:pt>
                  <c:pt idx="47">
                    <c:v>Jan</c:v>
                  </c:pt>
                  <c:pt idx="48">
                    <c:v>Feb</c:v>
                  </c:pt>
                  <c:pt idx="49">
                    <c:v>Mar</c:v>
                  </c:pt>
                  <c:pt idx="50">
                    <c:v>Apr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Jul</c:v>
                  </c:pt>
                  <c:pt idx="54">
                    <c:v>Aug</c:v>
                  </c:pt>
                  <c:pt idx="55">
                    <c:v>Sept</c:v>
                  </c:pt>
                  <c:pt idx="56">
                    <c:v>Oct</c:v>
                  </c:pt>
                  <c:pt idx="57">
                    <c:v>Nov</c:v>
                  </c:pt>
                  <c:pt idx="58">
                    <c:v>Dec</c:v>
                  </c:pt>
                  <c:pt idx="59">
                    <c:v>Jan</c:v>
                  </c:pt>
                  <c:pt idx="60">
                    <c:v>Feb</c:v>
                  </c:pt>
                  <c:pt idx="61">
                    <c:v>Mar</c:v>
                  </c:pt>
                  <c:pt idx="62">
                    <c:v>Apr</c:v>
                  </c:pt>
                  <c:pt idx="63">
                    <c:v>May</c:v>
                  </c:pt>
                  <c:pt idx="64">
                    <c:v>Jun</c:v>
                  </c:pt>
                  <c:pt idx="65">
                    <c:v>Jul</c:v>
                  </c:pt>
                  <c:pt idx="66">
                    <c:v>Aug</c:v>
                  </c:pt>
                  <c:pt idx="67">
                    <c:v>Sept</c:v>
                  </c:pt>
                  <c:pt idx="68">
                    <c:v>Oct</c:v>
                  </c:pt>
                  <c:pt idx="69">
                    <c:v>Nov</c:v>
                  </c:pt>
                  <c:pt idx="70">
                    <c:v>Dec</c:v>
                  </c:pt>
                  <c:pt idx="71">
                    <c:v>Jan</c:v>
                  </c:pt>
                  <c:pt idx="72">
                    <c:v>Feb</c:v>
                  </c:pt>
                  <c:pt idx="73">
                    <c:v>Mar</c:v>
                  </c:pt>
                  <c:pt idx="74">
                    <c:v>Apr</c:v>
                  </c:pt>
                  <c:pt idx="75">
                    <c:v>May</c:v>
                  </c:pt>
                  <c:pt idx="76">
                    <c:v>Jun</c:v>
                  </c:pt>
                  <c:pt idx="77">
                    <c:v>Jul</c:v>
                  </c:pt>
                  <c:pt idx="78">
                    <c:v>Aug</c:v>
                  </c:pt>
                  <c:pt idx="79">
                    <c:v>Sept</c:v>
                  </c:pt>
                  <c:pt idx="80">
                    <c:v>Oct</c:v>
                  </c:pt>
                  <c:pt idx="81">
                    <c:v>Nov</c:v>
                  </c:pt>
                  <c:pt idx="82">
                    <c:v>Dec</c:v>
                  </c:pt>
                  <c:pt idx="83">
                    <c:v>Jan</c:v>
                  </c:pt>
                  <c:pt idx="84">
                    <c:v>Feb</c:v>
                  </c:pt>
                  <c:pt idx="85">
                    <c:v>Mar</c:v>
                  </c:pt>
                  <c:pt idx="86">
                    <c:v>Apr</c:v>
                  </c:pt>
                  <c:pt idx="87">
                    <c:v>May</c:v>
                  </c:pt>
                  <c:pt idx="88">
                    <c:v>Jun</c:v>
                  </c:pt>
                  <c:pt idx="89">
                    <c:v>Jul</c:v>
                  </c:pt>
                  <c:pt idx="90">
                    <c:v>Aug</c:v>
                  </c:pt>
                  <c:pt idx="91">
                    <c:v>Sept</c:v>
                  </c:pt>
                  <c:pt idx="92">
                    <c:v>Oct</c:v>
                  </c:pt>
                  <c:pt idx="93">
                    <c:v>Nov</c:v>
                  </c:pt>
                  <c:pt idx="94">
                    <c:v>Dec</c:v>
                  </c:pt>
                  <c:pt idx="95">
                    <c:v>Jan</c:v>
                  </c:pt>
                  <c:pt idx="96">
                    <c:v>Feb</c:v>
                  </c:pt>
                  <c:pt idx="97">
                    <c:v>Mar</c:v>
                  </c:pt>
                  <c:pt idx="98">
                    <c:v>Apr</c:v>
                  </c:pt>
                  <c:pt idx="99">
                    <c:v>May</c:v>
                  </c:pt>
                  <c:pt idx="100">
                    <c:v>Jun</c:v>
                  </c:pt>
                  <c:pt idx="101">
                    <c:v>Jul</c:v>
                  </c:pt>
                  <c:pt idx="102">
                    <c:v>Aug</c:v>
                  </c:pt>
                  <c:pt idx="103">
                    <c:v>Sept</c:v>
                  </c:pt>
                </c:lvl>
                <c:lvl>
                  <c:pt idx="0">
                    <c:v>2008</c:v>
                  </c:pt>
                  <c:pt idx="11">
                    <c:v>2009</c:v>
                  </c:pt>
                  <c:pt idx="23">
                    <c:v>2010</c:v>
                  </c:pt>
                  <c:pt idx="35">
                    <c:v>2011</c:v>
                  </c:pt>
                  <c:pt idx="47">
                    <c:v>2012</c:v>
                  </c:pt>
                  <c:pt idx="59">
                    <c:v>2013</c:v>
                  </c:pt>
                  <c:pt idx="71">
                    <c:v>2014</c:v>
                  </c:pt>
                  <c:pt idx="83">
                    <c:v>2015</c:v>
                  </c:pt>
                  <c:pt idx="95">
                    <c:v>2016</c:v>
                  </c:pt>
                </c:lvl>
              </c:multiLvlStrCache>
            </c:multiLvlStrRef>
          </c:cat>
          <c:val>
            <c:numRef>
              <c:f>'Monthly Pivot'!$G$300:$G$413</c:f>
              <c:numCache>
                <c:formatCode>0.0%</c:formatCode>
                <c:ptCount val="104"/>
                <c:pt idx="99">
                  <c:v>0.28885573667390657</c:v>
                </c:pt>
                <c:pt idx="100">
                  <c:v>0.20671814624804646</c:v>
                </c:pt>
                <c:pt idx="101">
                  <c:v>0.1972594259988745</c:v>
                </c:pt>
                <c:pt idx="102">
                  <c:v>0.20988499888503076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24D-46C1-ACCB-A6AF14C32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61888"/>
        <c:axId val="14566208"/>
      </c:lineChart>
      <c:catAx>
        <c:axId val="1456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6208"/>
        <c:crosses val="autoZero"/>
        <c:auto val="1"/>
        <c:lblAlgn val="ctr"/>
        <c:lblOffset val="100"/>
        <c:noMultiLvlLbl val="0"/>
      </c:catAx>
      <c:valAx>
        <c:axId val="145662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236954370578409"/>
          <c:y val="0.21051918655588817"/>
          <c:w val="0.13220806842624219"/>
          <c:h val="0.3353112715799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208642</xdr:colOff>
      <xdr:row>5</xdr:row>
      <xdr:rowOff>31522</xdr:rowOff>
    </xdr:from>
    <xdr:to>
      <xdr:col>8</xdr:col>
      <xdr:colOff>336194</xdr:colOff>
      <xdr:row>23</xdr:row>
      <xdr:rowOff>11785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EA4F37-0F15-C5B7-6EED-DC321AE52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713" y="838879"/>
          <a:ext cx="4628124" cy="2917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583746</xdr:colOff>
      <xdr:row>5</xdr:row>
      <xdr:rowOff>33978</xdr:rowOff>
    </xdr:from>
    <xdr:to>
      <xdr:col>16</xdr:col>
      <xdr:colOff>258752</xdr:colOff>
      <xdr:row>24</xdr:row>
      <xdr:rowOff>30341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271DA5F-629F-CB01-DD7F-9EF705A77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6317" y="841335"/>
          <a:ext cx="4822825" cy="3094039"/>
        </a:xfrm>
        <a:prstGeom prst="rect">
          <a:avLst/>
        </a:prstGeom>
      </xdr:spPr>
    </xdr:pic>
    <xdr:clientData/>
  </xdr:twoCellAnchor>
  <xdr:twoCellAnchor editAs="oneCell">
    <xdr:from>
      <xdr:col>1</xdr:col>
      <xdr:colOff>184604</xdr:colOff>
      <xdr:row>25</xdr:row>
      <xdr:rowOff>83230</xdr:rowOff>
    </xdr:from>
    <xdr:to>
      <xdr:col>8</xdr:col>
      <xdr:colOff>336129</xdr:colOff>
      <xdr:row>44</xdr:row>
      <xdr:rowOff>129032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BAC3405-4226-85FF-F0A5-E62E3E5E7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" y="4156301"/>
          <a:ext cx="4658447" cy="3137128"/>
        </a:xfrm>
        <a:prstGeom prst="rect">
          <a:avLst/>
        </a:prstGeom>
      </xdr:spPr>
    </xdr:pic>
    <xdr:clientData/>
  </xdr:twoCellAnchor>
  <xdr:twoCellAnchor editAs="oneCell">
    <xdr:from>
      <xdr:col>8</xdr:col>
      <xdr:colOff>565605</xdr:colOff>
      <xdr:row>25</xdr:row>
      <xdr:rowOff>81643</xdr:rowOff>
    </xdr:from>
    <xdr:to>
      <xdr:col>16</xdr:col>
      <xdr:colOff>335634</xdr:colOff>
      <xdr:row>44</xdr:row>
      <xdr:rowOff>147885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9FEE7-09FE-C8BB-8939-D6B446C26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8176" y="4154714"/>
          <a:ext cx="4925786" cy="3157568"/>
        </a:xfrm>
        <a:prstGeom prst="rect">
          <a:avLst/>
        </a:prstGeom>
      </xdr:spPr>
    </xdr:pic>
    <xdr:clientData/>
  </xdr:twoCellAnchor>
  <xdr:twoCellAnchor editAs="oneCell">
    <xdr:from>
      <xdr:col>16</xdr:col>
      <xdr:colOff>575973</xdr:colOff>
      <xdr:row>5</xdr:row>
      <xdr:rowOff>57726</xdr:rowOff>
    </xdr:from>
    <xdr:to>
      <xdr:col>25</xdr:col>
      <xdr:colOff>574323</xdr:colOff>
      <xdr:row>22</xdr:row>
      <xdr:rowOff>155282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7C757A9-6B5A-0FD7-8A2A-0311794AC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0700" y="1085271"/>
          <a:ext cx="5817259" cy="2845375"/>
        </a:xfrm>
        <a:prstGeom prst="rect">
          <a:avLst/>
        </a:prstGeom>
        <a:noFill/>
        <a:ln>
          <a:solidFill>
            <a:schemeClr val="bg2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566358</xdr:colOff>
      <xdr:row>25</xdr:row>
      <xdr:rowOff>97551</xdr:rowOff>
    </xdr:from>
    <xdr:to>
      <xdr:col>25</xdr:col>
      <xdr:colOff>249814</xdr:colOff>
      <xdr:row>45</xdr:row>
      <xdr:rowOff>46326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A6DED4D-D833-2E92-B497-4127A99432B4}"/>
            </a:ext>
          </a:extLst>
        </xdr:cNvPr>
        <xdr:cNvSpPr txBox="1"/>
      </xdr:nvSpPr>
      <xdr:spPr>
        <a:xfrm>
          <a:off x="10911085" y="4357824"/>
          <a:ext cx="5502365" cy="3181502"/>
        </a:xfrm>
        <a:prstGeom prst="rect">
          <a:avLst/>
        </a:prstGeom>
        <a:solidFill>
          <a:schemeClr val="lt1"/>
        </a:solidFill>
        <a:ln w="9525" cmpd="sng">
          <a:solidFill>
            <a:schemeClr val="bg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KEY FINDINGS</a:t>
          </a:r>
        </a:p>
        <a:p>
          <a:endParaRPr lang="en-US" sz="1000" b="1"/>
        </a:p>
        <a:p>
          <a:r>
            <a:rPr lang="en-US" sz="1000" b="1"/>
            <a:t>Two wells carried the Volve field.</a:t>
          </a:r>
          <a:r>
            <a:rPr lang="en-US" sz="1000"/>
            <a:t> F-12 and F-14 produced ~8.5M of the field's ~10M Sm³ oil (85%). The five later wells contributed marginally.</a:t>
          </a:r>
        </a:p>
        <a:p>
          <a:endParaRPr lang="en-US" sz="1000"/>
        </a:p>
        <a:p>
          <a:r>
            <a:rPr lang="en-US" sz="1000" b="1"/>
            <a:t>Production validated against NPD </a:t>
          </a:r>
          <a:r>
            <a:rPr lang="en-US" sz="1000" b="0"/>
            <a:t>using calculated </a:t>
          </a:r>
          <a:r>
            <a:rPr lang="en-US" sz="1000"/>
            <a:t>peak rates. F-12 ~5,300 Sm³/d and F-14 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</a:t>
          </a:r>
          <a:r>
            <a:rPr lang="en-US" sz="1000"/>
            <a:t>4,600 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Sm³/d</a:t>
          </a:r>
          <a:r>
            <a:rPr lang="en-US" sz="1000"/>
            <a:t> are consistent with NPD's reported field peak of ~9,000 Sm³/d across all producers.</a:t>
          </a:r>
        </a:p>
        <a:p>
          <a:endParaRPr lang="en-US" sz="1000"/>
        </a:p>
        <a:p>
          <a:r>
            <a:rPr lang="en-US" sz="1000" b="1"/>
            <a:t>Waterflood breakthrough</a:t>
          </a:r>
          <a:r>
            <a:rPr lang="en-US" sz="1000"/>
            <a:t> F-12 and F-14 show S-curve water cut rising to ~97%.</a:t>
          </a:r>
          <a:r>
            <a:rPr lang="en-US" sz="1000" baseline="0"/>
            <a:t> I</a:t>
          </a:r>
          <a:r>
            <a:rPr lang="en-US" sz="1000"/>
            <a:t>njected water front sweeping through to producers.</a:t>
          </a:r>
        </a:p>
        <a:p>
          <a:endParaRPr lang="en-US" sz="1000"/>
        </a:p>
        <a:p>
          <a:r>
            <a:rPr lang="en-US" sz="1000"/>
            <a:t>F-11, F-1 C and F-15 D broke through steeply on start-up,</a:t>
          </a:r>
          <a:r>
            <a:rPr lang="en-US" sz="1000" baseline="0"/>
            <a:t> </a:t>
          </a:r>
          <a:r>
            <a:rPr lang="en-US" sz="1000"/>
            <a:t>drilled late into an already-swept reservoir (NPD's second drilling campaign).</a:t>
          </a:r>
        </a:p>
        <a:p>
          <a:endParaRPr lang="en-US" sz="1000"/>
        </a:p>
        <a:p>
          <a:r>
            <a:rPr lang="en-US" sz="1000"/>
            <a:t>Field-wide water cut climbing past 90% is why Volve was abandoned in 2016,</a:t>
          </a:r>
          <a:r>
            <a:rPr lang="en-US" sz="1000" baseline="0"/>
            <a:t> though pressure was maintained successfully </a:t>
          </a:r>
          <a:endParaRPr lang="en-US" sz="1000"/>
        </a:p>
        <a:p>
          <a:endParaRPr lang="en-US" sz="1000"/>
        </a:p>
        <a:p>
          <a:endParaRPr lang="en-US" sz="1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412748</xdr:colOff>
      <xdr:row>0</xdr:row>
      <xdr:rowOff>152400</xdr:rowOff>
    </xdr:from>
    <xdr:to>
      <xdr:col>14</xdr:col>
      <xdr:colOff>590549</xdr:colOff>
      <xdr:row>8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DEEB9E-32CA-D782-2FD8-21FEDDF98C8A}"/>
            </a:ext>
          </a:extLst>
        </xdr:cNvPr>
        <xdr:cNvSpPr txBox="1"/>
      </xdr:nvSpPr>
      <xdr:spPr>
        <a:xfrm>
          <a:off x="6127748" y="152400"/>
          <a:ext cx="4711701" cy="129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+mj-lt"/>
            </a:rPr>
            <a:t>Well</a:t>
          </a:r>
          <a:r>
            <a:rPr lang="en-US" sz="1000" baseline="0">
              <a:latin typeface="+mj-lt"/>
            </a:rPr>
            <a:t> </a:t>
          </a:r>
          <a:r>
            <a:rPr lang="en-US" sz="1000">
              <a:latin typeface="+mj-lt"/>
            </a:rPr>
            <a:t>summary ranks all wells on the Volve Field by water-cut maturity. </a:t>
          </a:r>
        </a:p>
        <a:p>
          <a:r>
            <a:rPr lang="en-US" sz="1000">
              <a:latin typeface="+mj-lt"/>
            </a:rPr>
            <a:t>F-12 and F-14 are</a:t>
          </a:r>
          <a:r>
            <a:rPr lang="en-US" sz="1000" baseline="0">
              <a:latin typeface="+mj-lt"/>
            </a:rPr>
            <a:t> </a:t>
          </a:r>
          <a:r>
            <a:rPr lang="en-US" sz="1000">
              <a:latin typeface="+mj-lt"/>
            </a:rPr>
            <a:t>the field's two main oil producers at 4.6M and 3.9M Sm³. They are flagged red at 97% water cut, fully swept and at end-of-life. </a:t>
          </a:r>
        </a:p>
        <a:p>
          <a:r>
            <a:rPr lang="en-US" sz="1000">
              <a:latin typeface="+mj-lt"/>
            </a:rPr>
            <a:t>The injector F-4 shows zero oil. </a:t>
          </a:r>
        </a:p>
        <a:p>
          <a:r>
            <a:rPr lang="en-US" sz="1000">
              <a:latin typeface="+mj-lt"/>
            </a:rPr>
            <a:t>The color scale shows well maturity.</a:t>
          </a:r>
          <a:r>
            <a:rPr lang="en-US" sz="1000" baseline="0">
              <a:latin typeface="+mj-lt"/>
            </a:rPr>
            <a:t> </a:t>
          </a:r>
        </a:p>
        <a:p>
          <a:r>
            <a:rPr lang="en-US" sz="1000" baseline="0">
              <a:latin typeface="+mj-lt"/>
            </a:rPr>
            <a:t>Though Volve is shut</a:t>
          </a:r>
          <a:r>
            <a:rPr lang="en-US" sz="1000">
              <a:latin typeface="+mj-lt"/>
            </a:rPr>
            <a:t>-in, this</a:t>
          </a:r>
          <a:r>
            <a:rPr lang="en-US" sz="1000" baseline="0">
              <a:latin typeface="+mj-lt"/>
            </a:rPr>
            <a:t> </a:t>
          </a:r>
          <a:r>
            <a:rPr lang="en-US" sz="1000">
              <a:latin typeface="+mj-lt"/>
            </a:rPr>
            <a:t>logic on a live field will show early-warning on rate-of-change and rate-vs-choke signals.</a:t>
          </a:r>
        </a:p>
        <a:p>
          <a:endParaRPr lang="en-US" sz="1000">
            <a:latin typeface="+mj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413279</xdr:colOff>
      <xdr:row>2</xdr:row>
      <xdr:rowOff>166685</xdr:rowOff>
    </xdr:from>
    <xdr:to>
      <xdr:col>12</xdr:col>
      <xdr:colOff>264584</xdr:colOff>
      <xdr:row>21</xdr:row>
      <xdr:rowOff>31749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152162-0A90-8501-D92C-8D9A1B8EC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269875</xdr:colOff>
      <xdr:row>34</xdr:row>
      <xdr:rowOff>1588</xdr:rowOff>
    </xdr:from>
    <xdr:to>
      <xdr:col>18</xdr:col>
      <xdr:colOff>74082</xdr:colOff>
      <xdr:row>61</xdr:row>
      <xdr:rowOff>4763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992785-3C59-0DC3-6198-85E1A8D51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457199</xdr:colOff>
      <xdr:row>155</xdr:row>
      <xdr:rowOff>43921</xdr:rowOff>
    </xdr:from>
    <xdr:to>
      <xdr:col>18</xdr:col>
      <xdr:colOff>31749</xdr:colOff>
      <xdr:row>179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5D3261-F422-13B9-8169-894798521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652462</xdr:colOff>
      <xdr:row>308</xdr:row>
      <xdr:rowOff>160864</xdr:rowOff>
    </xdr:from>
    <xdr:to>
      <xdr:col>19</xdr:col>
      <xdr:colOff>137584</xdr:colOff>
      <xdr:row>334</xdr:row>
      <xdr:rowOff>148167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3FE1BFE-0B92-6B7D-9A4F-CC39A4D66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zamba" refreshedDate="46212.738070717591" createdVersion="8" refreshedVersion="8" minRefreshableVersion="3" recordCount="526" xr:uid="{F14CDDF8-34CD-46F5-9FD3-477A674DABF5}">
  <cacheSource type="worksheet">
    <worksheetSource ref="A1:O527" sheet="Clean Monthly Production Data "/>
  </cacheSource>
  <cacheFields count="18">
    <cacheField name="Wellbore name" numFmtId="0">
      <sharedItems count="7">
        <s v="15/9-F-1 C"/>
        <s v="15/9-F-11"/>
        <s v="15/9-F-12"/>
        <s v="15/9-F-14"/>
        <s v="15/9-F-15 D"/>
        <s v="15/9-F-4"/>
        <s v="15/9-F-5"/>
      </sharedItems>
    </cacheField>
    <cacheField name="NPD Code" numFmtId="0">
      <sharedItems containsSemiMixedTypes="0" containsString="0" containsNumber="1" containsInteger="1" minValue="5351" maxValue="7405"/>
    </cacheField>
    <cacheField name="Year" numFmtId="0">
      <sharedItems containsSemiMixedTypes="0" containsString="0" containsNumber="1" containsInteger="1" minValue="2007" maxValue="2016"/>
    </cacheField>
    <cacheField name="Month" numFmtId="0">
      <sharedItems containsSemiMixedTypes="0" containsString="0" containsNumber="1" containsInteger="1" minValue="1" maxValue="12"/>
    </cacheField>
    <cacheField name="Date" numFmtId="166">
      <sharedItems containsSemiMixedTypes="0" containsNonDate="0" containsDate="1" containsString="0" minDate="2007-09-01T00:00:00" maxDate="2016-12-02T00:00:00" count="112"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6-05-01T00:00:00"/>
        <d v="2016-06-01T00:00:00"/>
        <d v="2016-07-01T00:00:00"/>
        <d v="2016-08-01T00:00:00"/>
        <d v="2016-09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07-09-01T00:00:00"/>
        <d v="2007-10-01T00:00:00"/>
        <d v="2007-11-01T00:00:00"/>
        <d v="2007-12-01T00:00:00"/>
        <d v="2008-01-01T00:00:00"/>
        <d v="2016-10-01T00:00:00"/>
        <d v="2016-11-01T00:00:00"/>
        <d v="2016-12-01T00:00:00"/>
      </sharedItems>
      <fieldGroup par="17"/>
    </cacheField>
    <cacheField name="On Stream (hrs)" numFmtId="3">
      <sharedItems containsSemiMixedTypes="0" containsString="0" containsNumber="1" minValue="0" maxValue="745"/>
    </cacheField>
    <cacheField name="Oil (Sm3)" numFmtId="3">
      <sharedItems containsSemiMixedTypes="0" containsString="0" containsNumber="1" minValue="0" maxValue="166439.67000000001"/>
    </cacheField>
    <cacheField name="Gas (Sm3)" numFmtId="3">
      <sharedItems containsSemiMixedTypes="0" containsString="0" containsNumber="1" minValue="0" maxValue="24106361.739999998"/>
    </cacheField>
    <cacheField name="Water (Sm3)" numFmtId="3">
      <sharedItems containsSemiMixedTypes="0" containsString="0" containsNumber="1" minValue="0" maxValue="155365.68"/>
    </cacheField>
    <cacheField name="Calc. Oil Rate (Sm3/day)" numFmtId="2">
      <sharedItems containsMixedTypes="1" containsNumber="1" minValue="0" maxValue="5369.021612903226"/>
    </cacheField>
    <cacheField name="Oil Rate (Sm3/d)" numFmtId="3">
      <sharedItems containsMixedTypes="1" containsNumber="1" minValue="0" maxValue="5369.021612903226"/>
    </cacheField>
    <cacheField name="Water Cut" numFmtId="9">
      <sharedItems containsMixedTypes="1" containsNumber="1" minValue="0" maxValue="0.96725411415950946"/>
    </cacheField>
    <cacheField name="GI (Sm3)" numFmtId="3">
      <sharedItems containsSemiMixedTypes="0" containsString="0" containsNumber="1" containsInteger="1" minValue="0" maxValue="0"/>
    </cacheField>
    <cacheField name="WI (Sm3)" numFmtId="3">
      <sharedItems containsSemiMixedTypes="0" containsString="0" containsNumber="1" minValue="0" maxValue="270199.39982958301"/>
    </cacheField>
    <cacheField name="Well Role" numFmtId="0">
      <sharedItems count="3">
        <s v="Producer"/>
        <s v="No production"/>
        <s v="Injector"/>
      </sharedItems>
    </cacheField>
    <cacheField name="Months (Date)" numFmtId="0" databaseField="0">
      <fieldGroup base="4">
        <rangePr groupBy="months" startDate="2007-09-01T00:00:00" endDate="2016-12-02T00:00:00"/>
        <groupItems count="14">
          <s v="&lt;01/09/2007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2/12/2016"/>
        </groupItems>
      </fieldGroup>
    </cacheField>
    <cacheField name="Quarters (Date)" numFmtId="0" databaseField="0">
      <fieldGroup base="4">
        <rangePr groupBy="quarters" startDate="2007-09-01T00:00:00" endDate="2016-12-02T00:00:00"/>
        <groupItems count="6">
          <s v="&lt;01/09/2007"/>
          <s v="Qtr1"/>
          <s v="Qtr2"/>
          <s v="Qtr3"/>
          <s v="Qtr4"/>
          <s v="&gt;02/12/2016"/>
        </groupItems>
      </fieldGroup>
    </cacheField>
    <cacheField name="Years (Date)" numFmtId="0" databaseField="0">
      <fieldGroup base="4">
        <rangePr groupBy="years" startDate="2007-09-01T00:00:00" endDate="2016-12-02T00:00:00"/>
        <groupItems count="12">
          <s v="&lt;01/09/2007"/>
          <s v="2007"/>
          <s v="2008"/>
          <s v="2009"/>
          <s v="2010"/>
          <s v="2011"/>
          <s v="2012"/>
          <s v="2013"/>
          <s v="2014"/>
          <s v="2015"/>
          <s v="2016"/>
          <s v="&gt;02/12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6">
  <r>
    <x v="0"/>
    <n v="7405"/>
    <n v="2014"/>
    <n v="4"/>
    <x v="0"/>
    <n v="227.5"/>
    <n v="11142.47"/>
    <n v="1597936.65"/>
    <n v="0"/>
    <n v="1175.4693626373626"/>
    <n v="1175.4693626373626"/>
    <n v="0"/>
    <n v="0"/>
    <n v="0"/>
    <x v="0"/>
  </r>
  <r>
    <x v="0"/>
    <n v="7405"/>
    <n v="2014"/>
    <n v="5"/>
    <x v="1"/>
    <n v="733.83334000000002"/>
    <n v="24901.95"/>
    <n v="3496229.65"/>
    <n v="783.48"/>
    <n v="814.41761694828415"/>
    <n v="814.41761694828415"/>
    <n v="3.0502895999794437E-2"/>
    <n v="0"/>
    <n v="0"/>
    <x v="0"/>
  </r>
  <r>
    <x v="0"/>
    <n v="7405"/>
    <n v="2014"/>
    <n v="6"/>
    <x v="2"/>
    <n v="705.91665999999998"/>
    <n v="19617.759999999998"/>
    <n v="2886661.69"/>
    <n v="2068.48"/>
    <n v="666.9714240771707"/>
    <n v="666.9714240771707"/>
    <n v="9.5382140933605836E-2"/>
    <n v="0"/>
    <n v="0"/>
    <x v="0"/>
  </r>
  <r>
    <x v="0"/>
    <n v="7405"/>
    <n v="2014"/>
    <n v="7"/>
    <x v="3"/>
    <n v="742.41665999999998"/>
    <n v="15085.68"/>
    <n v="2249365.75"/>
    <n v="6243.98"/>
    <n v="487.67267695743789"/>
    <n v="487.67267695743789"/>
    <n v="0.29273696814670275"/>
    <n v="0"/>
    <n v="0"/>
    <x v="0"/>
  </r>
  <r>
    <x v="0"/>
    <n v="7405"/>
    <n v="2014"/>
    <n v="8"/>
    <x v="4"/>
    <n v="432.99166000000002"/>
    <n v="6970.43"/>
    <n v="1048190.8"/>
    <n v="4529.75"/>
    <n v="386.35921994432869"/>
    <n v="386.35921994432869"/>
    <n v="0.39388513918912571"/>
    <n v="0"/>
    <n v="0"/>
    <x v="0"/>
  </r>
  <r>
    <x v="0"/>
    <n v="7405"/>
    <n v="2014"/>
    <n v="9"/>
    <x v="5"/>
    <n v="630.29999999999995"/>
    <n v="9168.43"/>
    <n v="1414099.99"/>
    <n v="8317.59"/>
    <n v="349.10728224654929"/>
    <n v="349.10728224654929"/>
    <n v="0.4756708501991877"/>
    <n v="0"/>
    <n v="0"/>
    <x v="0"/>
  </r>
  <r>
    <x v="0"/>
    <n v="7405"/>
    <n v="2014"/>
    <n v="10"/>
    <x v="6"/>
    <n v="745"/>
    <n v="9468.06"/>
    <n v="1462063.99"/>
    <n v="10364.870000000001"/>
    <n v="305.01132885906037"/>
    <n v="305.01132885906037"/>
    <n v="0.5226091152441924"/>
    <n v="0"/>
    <n v="0"/>
    <x v="0"/>
  </r>
  <r>
    <x v="0"/>
    <n v="7405"/>
    <n v="2014"/>
    <n v="11"/>
    <x v="7"/>
    <n v="579.77499999999998"/>
    <n v="6710.33"/>
    <n v="1044188.3"/>
    <n v="7234.24"/>
    <n v="277.77658574446986"/>
    <n v="277.77658574446986"/>
    <n v="0.5187854483860026"/>
    <n v="0"/>
    <n v="0"/>
    <x v="0"/>
  </r>
  <r>
    <x v="0"/>
    <n v="7405"/>
    <n v="2014"/>
    <n v="12"/>
    <x v="8"/>
    <n v="27.5"/>
    <n v="120.29"/>
    <n v="25857.08"/>
    <n v="183.44"/>
    <n v="104.98036363636365"/>
    <n v="104.98036363636365"/>
    <n v="0.60395746221973456"/>
    <n v="0"/>
    <n v="0"/>
    <x v="0"/>
  </r>
  <r>
    <x v="0"/>
    <n v="7405"/>
    <n v="2015"/>
    <n v="1"/>
    <x v="9"/>
    <n v="479.91667000000001"/>
    <n v="10875.53"/>
    <n v="1604934.6"/>
    <n v="6850.8"/>
    <n v="543.87091825753828"/>
    <n v="543.87091825753828"/>
    <n v="0.38647593720753248"/>
    <n v="0"/>
    <n v="0"/>
    <x v="0"/>
  </r>
  <r>
    <x v="0"/>
    <n v="7405"/>
    <n v="2015"/>
    <n v="2"/>
    <x v="10"/>
    <n v="437.41667000000001"/>
    <n v="9586.64"/>
    <n v="1439453.67"/>
    <n v="10744.99"/>
    <n v="525.99586568111363"/>
    <n v="525.99586568111363"/>
    <n v="0.52848640271340774"/>
    <n v="0"/>
    <n v="0"/>
    <x v="0"/>
  </r>
  <r>
    <x v="0"/>
    <n v="7405"/>
    <n v="2015"/>
    <n v="3"/>
    <x v="11"/>
    <n v="320.20832999999999"/>
    <n v="5879.22"/>
    <n v="856681.45"/>
    <n v="11607.44"/>
    <n v="440.65462007187637"/>
    <n v="440.65462007187637"/>
    <n v="0.66378828203899432"/>
    <n v="0"/>
    <n v="0"/>
    <x v="0"/>
  </r>
  <r>
    <x v="0"/>
    <n v="7405"/>
    <n v="2015"/>
    <n v="4"/>
    <x v="12"/>
    <n v="262.83332999999999"/>
    <n v="3924.18"/>
    <n v="566709.81000000006"/>
    <n v="9815.16"/>
    <n v="358.32715736622902"/>
    <n v="358.32715736622902"/>
    <n v="0.71438366035049716"/>
    <n v="0"/>
    <n v="0"/>
    <x v="0"/>
  </r>
  <r>
    <x v="0"/>
    <n v="7405"/>
    <n v="2015"/>
    <n v="5"/>
    <x v="13"/>
    <n v="181.08332999999999"/>
    <n v="3832.69"/>
    <n v="559060.34"/>
    <n v="6167.47"/>
    <n v="507.9681271600208"/>
    <n v="507.9681271600208"/>
    <n v="0.61673713220588477"/>
    <n v="0"/>
    <n v="0"/>
    <x v="0"/>
  </r>
  <r>
    <x v="0"/>
    <n v="7405"/>
    <n v="2015"/>
    <n v="6"/>
    <x v="14"/>
    <n v="466.44986"/>
    <n v="6344.5"/>
    <n v="925337.48"/>
    <n v="14548.69"/>
    <n v="326.44023089641405"/>
    <n v="326.44023089641405"/>
    <n v="0.69633646178491648"/>
    <n v="0"/>
    <n v="0"/>
    <x v="0"/>
  </r>
  <r>
    <x v="0"/>
    <n v="7405"/>
    <n v="2015"/>
    <n v="7"/>
    <x v="15"/>
    <n v="241.66667000000001"/>
    <n v="2093.9499999999998"/>
    <n v="315178.96000000002"/>
    <n v="8454.26"/>
    <n v="207.95089368343591"/>
    <n v="207.95089368343591"/>
    <n v="0.80148764577117837"/>
    <n v="0"/>
    <n v="0"/>
    <x v="0"/>
  </r>
  <r>
    <x v="0"/>
    <n v="7405"/>
    <n v="2015"/>
    <n v="8"/>
    <x v="16"/>
    <n v="147.79167000000001"/>
    <n v="2871.02"/>
    <n v="427692.59"/>
    <n v="5334.03"/>
    <n v="466.22708844145274"/>
    <n v="466.22708844145274"/>
    <n v="0.65009110243082002"/>
    <n v="0"/>
    <n v="0"/>
    <x v="0"/>
  </r>
  <r>
    <x v="0"/>
    <n v="7405"/>
    <n v="2015"/>
    <n v="9"/>
    <x v="17"/>
    <n v="384.46679999999998"/>
    <n v="6460.27"/>
    <n v="961548.42"/>
    <n v="14767.12"/>
    <n v="403.27664183227267"/>
    <n v="403.27664183227267"/>
    <n v="0.69566348006043144"/>
    <n v="0"/>
    <n v="0"/>
    <x v="0"/>
  </r>
  <r>
    <x v="0"/>
    <n v="7405"/>
    <n v="2015"/>
    <n v="10"/>
    <x v="18"/>
    <n v="367.79986000000002"/>
    <n v="4085.8"/>
    <n v="631372.56000000006"/>
    <n v="13538.71"/>
    <n v="266.61021567544913"/>
    <n v="266.61021567544913"/>
    <n v="0.76817511522306159"/>
    <n v="0"/>
    <n v="0"/>
    <x v="0"/>
  </r>
  <r>
    <x v="0"/>
    <n v="7405"/>
    <n v="2015"/>
    <n v="11"/>
    <x v="19"/>
    <n v="301.25833"/>
    <n v="3332.05"/>
    <n v="508384.43"/>
    <n v="11682.31"/>
    <n v="265.45058521701293"/>
    <n v="265.45058521701293"/>
    <n v="0.7780757887782096"/>
    <n v="0"/>
    <n v="0"/>
    <x v="0"/>
  </r>
  <r>
    <x v="0"/>
    <n v="7405"/>
    <n v="2015"/>
    <n v="12"/>
    <x v="20"/>
    <n v="197.65833000000001"/>
    <n v="2949.42"/>
    <n v="454911.3"/>
    <n v="6231.55"/>
    <n v="358.12343451449783"/>
    <n v="358.12343451449783"/>
    <n v="0.67874636340168848"/>
    <n v="0"/>
    <n v="0"/>
    <x v="0"/>
  </r>
  <r>
    <x v="0"/>
    <n v="7405"/>
    <n v="2016"/>
    <n v="1"/>
    <x v="21"/>
    <n v="387.68333999999999"/>
    <n v="2981.44"/>
    <n v="471675.96"/>
    <n v="14036.28"/>
    <n v="184.56960260402215"/>
    <n v="184.56960260402215"/>
    <n v="0.8248037927524956"/>
    <n v="0"/>
    <n v="0"/>
    <x v="0"/>
  </r>
  <r>
    <x v="0"/>
    <n v="7405"/>
    <n v="2016"/>
    <n v="2"/>
    <x v="22"/>
    <n v="484.48331999999999"/>
    <n v="4718.03"/>
    <n v="742339.77"/>
    <n v="15945.73"/>
    <n v="233.71851068061537"/>
    <n v="233.71851068061537"/>
    <n v="0.77167611315656015"/>
    <n v="0"/>
    <n v="0"/>
    <x v="0"/>
  </r>
  <r>
    <x v="0"/>
    <n v="7405"/>
    <n v="2016"/>
    <n v="3"/>
    <x v="23"/>
    <n v="356.75833"/>
    <n v="2917.5"/>
    <n v="476830.19"/>
    <n v="13410.89"/>
    <n v="196.26731630905437"/>
    <n v="196.26731630905437"/>
    <n v="0.82132347402285222"/>
    <n v="0"/>
    <n v="0"/>
    <x v="0"/>
  </r>
  <r>
    <x v="0"/>
    <n v="7405"/>
    <n v="2016"/>
    <n v="4"/>
    <x v="24"/>
    <n v="140.82499000000001"/>
    <n v="1671.69"/>
    <n v="274213.17"/>
    <n v="4441.13"/>
    <n v="284.89659399230203"/>
    <n v="284.89659399230203"/>
    <n v="0.72652720021201345"/>
    <n v="0"/>
    <n v="0"/>
    <x v="0"/>
  </r>
  <r>
    <x v="1"/>
    <n v="7078"/>
    <n v="2013"/>
    <n v="7"/>
    <x v="25"/>
    <n v="112.91513999999999"/>
    <n v="3923.08"/>
    <n v="590504.52"/>
    <n v="0"/>
    <n v="833.8467277284517"/>
    <n v="833.8467277284517"/>
    <n v="0"/>
    <n v="0"/>
    <n v="0"/>
    <x v="0"/>
  </r>
  <r>
    <x v="1"/>
    <n v="7078"/>
    <n v="2013"/>
    <n v="8"/>
    <x v="26"/>
    <n v="586.71667000000002"/>
    <n v="25496.07"/>
    <n v="3871942.31"/>
    <n v="520.01"/>
    <n v="1042.932153265732"/>
    <n v="1042.932153265732"/>
    <n v="1.9988022792057837E-2"/>
    <n v="0"/>
    <n v="0"/>
    <x v="0"/>
  </r>
  <r>
    <x v="1"/>
    <n v="7078"/>
    <n v="2013"/>
    <n v="9"/>
    <x v="27"/>
    <n v="538.91666999999995"/>
    <n v="23775.08"/>
    <n v="3661574"/>
    <n v="1573.61"/>
    <n v="1058.7943401342552"/>
    <n v="1058.7943401342552"/>
    <n v="6.2078553171781251E-2"/>
    <n v="0"/>
    <n v="0"/>
    <x v="0"/>
  </r>
  <r>
    <x v="1"/>
    <n v="7078"/>
    <n v="2013"/>
    <n v="10"/>
    <x v="28"/>
    <n v="678.49991"/>
    <n v="34114.5"/>
    <n v="5272724.29"/>
    <n v="1926.53"/>
    <n v="1206.7031814344678"/>
    <n v="1206.7031814344678"/>
    <n v="5.34537997387977E-2"/>
    <n v="0"/>
    <n v="0"/>
    <x v="0"/>
  </r>
  <r>
    <x v="1"/>
    <n v="7078"/>
    <n v="2013"/>
    <n v="11"/>
    <x v="29"/>
    <n v="712"/>
    <n v="35386.35"/>
    <n v="5413486.1399999997"/>
    <n v="3791.22"/>
    <n v="1192.7983146067415"/>
    <n v="1192.7983146067415"/>
    <n v="9.6770167215577685E-2"/>
    <n v="0"/>
    <n v="0"/>
    <x v="0"/>
  </r>
  <r>
    <x v="1"/>
    <n v="7078"/>
    <n v="2013"/>
    <n v="12"/>
    <x v="30"/>
    <n v="662.08335"/>
    <n v="33405.75"/>
    <n v="5190658.82"/>
    <n v="4963.26"/>
    <n v="1210.9321281074356"/>
    <n v="1210.9321281074356"/>
    <n v="0.12935595679951084"/>
    <n v="0"/>
    <n v="0"/>
    <x v="0"/>
  </r>
  <r>
    <x v="1"/>
    <n v="7078"/>
    <n v="2014"/>
    <n v="1"/>
    <x v="31"/>
    <n v="668.08333000000005"/>
    <n v="34552.370000000003"/>
    <n v="5193353.22"/>
    <n v="4343.49"/>
    <n v="1241.2476748970821"/>
    <n v="1241.2476748970821"/>
    <n v="0.11166972526124888"/>
    <n v="0"/>
    <n v="0"/>
    <x v="0"/>
  </r>
  <r>
    <x v="1"/>
    <n v="7078"/>
    <n v="2014"/>
    <n v="2"/>
    <x v="32"/>
    <n v="562.66665999999998"/>
    <n v="28189.97"/>
    <n v="4255282.68"/>
    <n v="2841.37"/>
    <n v="1202.4157962371539"/>
    <n v="1202.4157962371539"/>
    <n v="9.1564527990090017E-2"/>
    <n v="0"/>
    <n v="0"/>
    <x v="0"/>
  </r>
  <r>
    <x v="1"/>
    <n v="7078"/>
    <n v="2014"/>
    <n v="3"/>
    <x v="33"/>
    <n v="655.49999000000003"/>
    <n v="33290.79"/>
    <n v="5039849.75"/>
    <n v="3692.22"/>
    <n v="1218.8847783201338"/>
    <n v="1218.8847783201338"/>
    <n v="9.9835573145614698E-2"/>
    <n v="0"/>
    <n v="0"/>
    <x v="0"/>
  </r>
  <r>
    <x v="1"/>
    <n v="7078"/>
    <n v="2014"/>
    <n v="4"/>
    <x v="0"/>
    <n v="691.51684999999998"/>
    <n v="35428.730000000003"/>
    <n v="5301958.8"/>
    <n v="4124.45"/>
    <n v="1229.6005802317038"/>
    <n v="1229.6005802317038"/>
    <n v="0.10427606579294003"/>
    <n v="0"/>
    <n v="0"/>
    <x v="0"/>
  </r>
  <r>
    <x v="1"/>
    <n v="7078"/>
    <n v="2014"/>
    <n v="5"/>
    <x v="1"/>
    <n v="731.5"/>
    <n v="34831.879999999997"/>
    <n v="4902619.28"/>
    <n v="5017.47"/>
    <n v="1142.8094600136703"/>
    <n v="1142.8094600136703"/>
    <n v="0.12591096216123979"/>
    <n v="0"/>
    <n v="0"/>
    <x v="0"/>
  </r>
  <r>
    <x v="1"/>
    <n v="7078"/>
    <n v="2014"/>
    <n v="6"/>
    <x v="2"/>
    <n v="709.33333000000005"/>
    <n v="33898.639999999999"/>
    <n v="4990684.5199999996"/>
    <n v="6083.59"/>
    <n v="1146.9464715551994"/>
    <n v="1146.9464715551994"/>
    <n v="0.15215734590091651"/>
    <n v="0"/>
    <n v="0"/>
    <x v="0"/>
  </r>
  <r>
    <x v="1"/>
    <n v="7078"/>
    <n v="2014"/>
    <n v="7"/>
    <x v="3"/>
    <n v="742.66666999999995"/>
    <n v="33760.33"/>
    <n v="5035917.29"/>
    <n v="6800.85"/>
    <n v="1090.9980920511757"/>
    <n v="1090.9980920511757"/>
    <n v="0.16766893862555282"/>
    <n v="0"/>
    <n v="0"/>
    <x v="0"/>
  </r>
  <r>
    <x v="1"/>
    <n v="7078"/>
    <n v="2014"/>
    <n v="8"/>
    <x v="4"/>
    <n v="599.11668999999995"/>
    <n v="26037.54"/>
    <n v="4033770.42"/>
    <n v="6076.52"/>
    <n v="1043.0371418963475"/>
    <n v="1043.0371418963475"/>
    <n v="0.18921681033167403"/>
    <n v="0"/>
    <n v="0"/>
    <x v="0"/>
  </r>
  <r>
    <x v="1"/>
    <n v="7078"/>
    <n v="2014"/>
    <n v="9"/>
    <x v="5"/>
    <n v="690.66666999999995"/>
    <n v="33221.64"/>
    <n v="5220328.68"/>
    <n v="8349.0499999999993"/>
    <n v="1154.4199172083981"/>
    <n v="1154.4199172083981"/>
    <n v="0.2008398224806949"/>
    <n v="0"/>
    <n v="0"/>
    <x v="0"/>
  </r>
  <r>
    <x v="1"/>
    <n v="7078"/>
    <n v="2014"/>
    <n v="10"/>
    <x v="6"/>
    <n v="745"/>
    <n v="33851.72"/>
    <n v="5237208.3"/>
    <n v="10287.9"/>
    <n v="1090.5252080536914"/>
    <n v="1090.5252080536914"/>
    <n v="0.23307631556411221"/>
    <n v="0"/>
    <n v="0"/>
    <x v="0"/>
  </r>
  <r>
    <x v="1"/>
    <n v="7078"/>
    <n v="2014"/>
    <n v="11"/>
    <x v="7"/>
    <n v="692.39180999999996"/>
    <n v="26611.5"/>
    <n v="4153116.29"/>
    <n v="9403.58"/>
    <n v="922.41992290463406"/>
    <n v="922.41992290463406"/>
    <n v="0.26110118317104947"/>
    <n v="0"/>
    <n v="0"/>
    <x v="0"/>
  </r>
  <r>
    <x v="1"/>
    <n v="7078"/>
    <n v="2014"/>
    <n v="12"/>
    <x v="8"/>
    <n v="733.85820000000001"/>
    <n v="8547.92"/>
    <n v="1413111.64"/>
    <n v="3079.05"/>
    <n v="279.55002751212697"/>
    <n v="279.55002751212697"/>
    <n v="0.26481963916652401"/>
    <n v="0"/>
    <n v="0"/>
    <x v="0"/>
  </r>
  <r>
    <x v="1"/>
    <n v="7078"/>
    <n v="2015"/>
    <n v="1"/>
    <x v="9"/>
    <n v="708.33333000000005"/>
    <n v="29561.8"/>
    <n v="4358978.95"/>
    <n v="13860.6"/>
    <n v="1001.623345889992"/>
    <n v="1001.623345889992"/>
    <n v="0.3192039131876635"/>
    <n v="0"/>
    <n v="0"/>
    <x v="0"/>
  </r>
  <r>
    <x v="1"/>
    <n v="7078"/>
    <n v="2015"/>
    <n v="2"/>
    <x v="10"/>
    <n v="632.16666999999995"/>
    <n v="25347.22"/>
    <n v="3836073.69"/>
    <n v="14061.01"/>
    <n v="962.2988823501247"/>
    <n v="962.2988823501247"/>
    <n v="0.35680389603897456"/>
    <n v="0"/>
    <n v="0"/>
    <x v="0"/>
  </r>
  <r>
    <x v="1"/>
    <n v="7078"/>
    <n v="2015"/>
    <n v="3"/>
    <x v="11"/>
    <n v="743.83333000000005"/>
    <n v="44316.19"/>
    <n v="6516700.4900000002"/>
    <n v="19387.3"/>
    <n v="1429.8748349983189"/>
    <n v="1429.8748349983189"/>
    <n v="0.30433654419875578"/>
    <n v="0"/>
    <n v="0"/>
    <x v="0"/>
  </r>
  <r>
    <x v="1"/>
    <n v="7078"/>
    <n v="2015"/>
    <n v="4"/>
    <x v="12"/>
    <n v="720"/>
    <n v="54555.76"/>
    <n v="7956467.4900000002"/>
    <n v="23839.72"/>
    <n v="1818.5253333333335"/>
    <n v="1818.5253333333335"/>
    <n v="0.30409559326634644"/>
    <n v="0"/>
    <n v="0"/>
    <x v="0"/>
  </r>
  <r>
    <x v="1"/>
    <n v="7078"/>
    <n v="2015"/>
    <n v="5"/>
    <x v="13"/>
    <n v="744"/>
    <n v="55029.22"/>
    <n v="8027510.4400000004"/>
    <n v="24425.53"/>
    <n v="1775.1361290322582"/>
    <n v="1775.1361290322582"/>
    <n v="0.30741434590128341"/>
    <n v="0"/>
    <n v="0"/>
    <x v="0"/>
  </r>
  <r>
    <x v="1"/>
    <n v="7078"/>
    <n v="2015"/>
    <n v="6"/>
    <x v="14"/>
    <n v="718.81667000000004"/>
    <n v="48231.1"/>
    <n v="7065851.5899999999"/>
    <n v="22891.62"/>
    <n v="1610.3499658682094"/>
    <n v="1610.3499658682094"/>
    <n v="0.3218608624642027"/>
    <n v="0"/>
    <n v="0"/>
    <x v="0"/>
  </r>
  <r>
    <x v="1"/>
    <n v="7078"/>
    <n v="2015"/>
    <n v="7"/>
    <x v="15"/>
    <n v="744"/>
    <n v="43784.66"/>
    <n v="6508853.29"/>
    <n v="36195.93"/>
    <n v="1412.4083870967743"/>
    <n v="1412.4083870967743"/>
    <n v="0.45255892710969003"/>
    <n v="0"/>
    <n v="0"/>
    <x v="0"/>
  </r>
  <r>
    <x v="1"/>
    <n v="7078"/>
    <n v="2015"/>
    <n v="8"/>
    <x v="16"/>
    <n v="632.01680999999996"/>
    <n v="31498.15"/>
    <n v="4769902.18"/>
    <n v="31870.44"/>
    <n v="1196.1004644797345"/>
    <n v="1196.1004644797345"/>
    <n v="0.50293749632112694"/>
    <n v="0"/>
    <n v="0"/>
    <x v="0"/>
  </r>
  <r>
    <x v="1"/>
    <n v="7078"/>
    <n v="2015"/>
    <n v="9"/>
    <x v="17"/>
    <n v="718.72457999999995"/>
    <n v="31424.59"/>
    <n v="4748109.8600000003"/>
    <n v="37411.85"/>
    <n v="1049.345160840332"/>
    <n v="1049.345160840332"/>
    <n v="0.54348902993821291"/>
    <n v="0"/>
    <n v="0"/>
    <x v="0"/>
  </r>
  <r>
    <x v="1"/>
    <n v="7078"/>
    <n v="2015"/>
    <n v="10"/>
    <x v="18"/>
    <n v="626.89180999999996"/>
    <n v="29724.78"/>
    <n v="4501570.0199999996"/>
    <n v="38022.559999999998"/>
    <n v="1137.9869837508325"/>
    <n v="1137.9869837508325"/>
    <n v="0.56124063321157702"/>
    <n v="0"/>
    <n v="0"/>
    <x v="0"/>
  </r>
  <r>
    <x v="1"/>
    <n v="7078"/>
    <n v="2015"/>
    <n v="11"/>
    <x v="19"/>
    <n v="671.30820000000006"/>
    <n v="36410.230000000003"/>
    <n v="5558573.3499999996"/>
    <n v="57058.61"/>
    <n v="1301.7054163795408"/>
    <n v="1301.7054163795408"/>
    <n v="0.61045595516109974"/>
    <n v="0"/>
    <n v="0"/>
    <x v="0"/>
  </r>
  <r>
    <x v="1"/>
    <n v="7078"/>
    <n v="2015"/>
    <n v="12"/>
    <x v="20"/>
    <n v="740.16666999999995"/>
    <n v="35933.9"/>
    <n v="5504665.46"/>
    <n v="62976.28"/>
    <n v="1165.1613548067492"/>
    <n v="1165.1613548067492"/>
    <n v="0.6367017024941215"/>
    <n v="0"/>
    <n v="0"/>
    <x v="0"/>
  </r>
  <r>
    <x v="1"/>
    <n v="7078"/>
    <n v="2016"/>
    <n v="1"/>
    <x v="21"/>
    <n v="736.49999000000003"/>
    <n v="31603.26"/>
    <n v="4949940.78"/>
    <n v="67980.66"/>
    <n v="1029.841480378024"/>
    <n v="1029.841480378024"/>
    <n v="0.68264695746060211"/>
    <n v="0"/>
    <n v="0"/>
    <x v="0"/>
  </r>
  <r>
    <x v="1"/>
    <n v="7078"/>
    <n v="2016"/>
    <n v="2"/>
    <x v="22"/>
    <n v="695.58333000000005"/>
    <n v="25954.57"/>
    <n v="4093286.56"/>
    <n v="66610.490000000005"/>
    <n v="895.52128858522235"/>
    <n v="895.52128858522235"/>
    <n v="0.7196072686605508"/>
    <n v="0"/>
    <n v="0"/>
    <x v="0"/>
  </r>
  <r>
    <x v="1"/>
    <n v="7078"/>
    <n v="2016"/>
    <n v="3"/>
    <x v="23"/>
    <n v="743"/>
    <n v="25023.66"/>
    <n v="4032038.1"/>
    <n v="76636.960000000006"/>
    <n v="808.30126514131905"/>
    <n v="808.30126514131905"/>
    <n v="0.75385099953157864"/>
    <n v="0"/>
    <n v="0"/>
    <x v="0"/>
  </r>
  <r>
    <x v="1"/>
    <n v="7078"/>
    <n v="2016"/>
    <n v="4"/>
    <x v="24"/>
    <n v="579.08331999999996"/>
    <n v="13429"/>
    <n v="2194427.0499999998"/>
    <n v="57931.66"/>
    <n v="556.56239589149277"/>
    <n v="556.56239589149277"/>
    <n v="0.81181508130670321"/>
    <n v="0"/>
    <n v="0"/>
    <x v="0"/>
  </r>
  <r>
    <x v="1"/>
    <n v="7078"/>
    <n v="2016"/>
    <n v="5"/>
    <x v="34"/>
    <n v="744"/>
    <n v="15528.75"/>
    <n v="2450713.77"/>
    <n v="73445.23"/>
    <n v="500.92741935483872"/>
    <n v="500.92741935483872"/>
    <n v="0.82546863701050577"/>
    <n v="0"/>
    <n v="0"/>
    <x v="0"/>
  </r>
  <r>
    <x v="1"/>
    <n v="7078"/>
    <n v="2016"/>
    <n v="6"/>
    <x v="35"/>
    <n v="718.41666999999995"/>
    <n v="14590.61"/>
    <n v="2349131.2200000002"/>
    <n v="71699.350000000006"/>
    <n v="487.42554929857073"/>
    <n v="487.42554929857073"/>
    <n v="0.83091184652304861"/>
    <n v="0"/>
    <n v="0"/>
    <x v="0"/>
  </r>
  <r>
    <x v="1"/>
    <n v="7078"/>
    <n v="2016"/>
    <n v="7"/>
    <x v="36"/>
    <n v="740.00100999999995"/>
    <n v="14384.88"/>
    <n v="2309447.4700000002"/>
    <n v="77084.72"/>
    <n v="466.5360118900378"/>
    <n v="466.5360118900378"/>
    <n v="0.8427359472436744"/>
    <n v="0"/>
    <n v="0"/>
    <x v="0"/>
  </r>
  <r>
    <x v="1"/>
    <n v="7078"/>
    <n v="2016"/>
    <n v="8"/>
    <x v="37"/>
    <n v="743.66666999999995"/>
    <n v="14583.73"/>
    <n v="2341371.5499999998"/>
    <n v="87762.19"/>
    <n v="470.6537675004314"/>
    <n v="470.6537675004314"/>
    <n v="0.85750550681453641"/>
    <n v="0"/>
    <n v="0"/>
    <x v="0"/>
  </r>
  <r>
    <x v="1"/>
    <n v="7078"/>
    <n v="2016"/>
    <n v="9"/>
    <x v="38"/>
    <n v="392.27514000000002"/>
    <n v="8609.18"/>
    <n v="1458816.35"/>
    <n v="46779.39"/>
    <n v="526.72295267041386"/>
    <n v="526.72295267041386"/>
    <n v="0.8445675705294432"/>
    <n v="0"/>
    <n v="0"/>
    <x v="0"/>
  </r>
  <r>
    <x v="2"/>
    <n v="5599"/>
    <n v="2008"/>
    <n v="2"/>
    <x v="39"/>
    <n v="406.62499000000003"/>
    <n v="49091.06"/>
    <n v="7068009.29"/>
    <n v="412.61"/>
    <n v="2897.4742550869782"/>
    <n v="2897.4742550869782"/>
    <n v="8.3349375914957419E-3"/>
    <n v="0"/>
    <n v="0"/>
    <x v="0"/>
  </r>
  <r>
    <x v="2"/>
    <n v="5599"/>
    <n v="2008"/>
    <n v="3"/>
    <x v="40"/>
    <n v="655.10834"/>
    <n v="83361.259999999995"/>
    <n v="12191170.91"/>
    <n v="27.42"/>
    <n v="3053.9532438252882"/>
    <n v="3053.9532438252882"/>
    <n v="3.2882160983960896E-4"/>
    <n v="0"/>
    <n v="0"/>
    <x v="0"/>
  </r>
  <r>
    <x v="2"/>
    <n v="5599"/>
    <n v="2008"/>
    <n v="4"/>
    <x v="41"/>
    <n v="613.64666"/>
    <n v="74532.45"/>
    <n v="11506440.74"/>
    <n v="482.05"/>
    <n v="2914.9980218257847"/>
    <n v="2914.9980218257847"/>
    <n v="6.4260909557485556E-3"/>
    <n v="0"/>
    <n v="0"/>
    <x v="0"/>
  </r>
  <r>
    <x v="2"/>
    <n v="5599"/>
    <n v="2008"/>
    <n v="5"/>
    <x v="42"/>
    <n v="716.19167000000004"/>
    <n v="125478.56"/>
    <n v="19091871.52"/>
    <n v="16280.12"/>
    <n v="4204.8596292665616"/>
    <n v="4204.8596292665616"/>
    <n v="0.11484390232753297"/>
    <n v="0"/>
    <n v="0"/>
    <x v="0"/>
  </r>
  <r>
    <x v="2"/>
    <n v="5599"/>
    <n v="2008"/>
    <n v="6"/>
    <x v="43"/>
    <n v="675.91669000000002"/>
    <n v="143786.85"/>
    <n v="21512333.93"/>
    <n v="474.37"/>
    <n v="5105.4877783828651"/>
    <n v="5105.4877783828651"/>
    <n v="3.2882710960020997E-3"/>
    <n v="0"/>
    <n v="0"/>
    <x v="0"/>
  </r>
  <r>
    <x v="2"/>
    <n v="5599"/>
    <n v="2008"/>
    <n v="7"/>
    <x v="44"/>
    <n v="710.74165000000005"/>
    <n v="114994.61"/>
    <n v="17116441.780000001"/>
    <n v="290.02"/>
    <n v="3883.085562806119"/>
    <n v="3883.085562806119"/>
    <n v="2.5156866097414718E-3"/>
    <n v="0"/>
    <n v="0"/>
    <x v="0"/>
  </r>
  <r>
    <x v="2"/>
    <n v="5599"/>
    <n v="2008"/>
    <n v="8"/>
    <x v="45"/>
    <n v="672.83334000000002"/>
    <n v="97822.46"/>
    <n v="14143008.24"/>
    <n v="354.18"/>
    <n v="3489.3322022359953"/>
    <n v="3489.3322022359953"/>
    <n v="3.6075791552858194E-3"/>
    <n v="0"/>
    <n v="0"/>
    <x v="0"/>
  </r>
  <r>
    <x v="2"/>
    <n v="5599"/>
    <n v="2008"/>
    <n v="9"/>
    <x v="46"/>
    <n v="567.97499000000005"/>
    <n v="77666.95"/>
    <n v="11185944.41"/>
    <n v="188.39"/>
    <n v="3281.8466179294264"/>
    <n v="3281.8466179294264"/>
    <n v="2.4197441049001907E-3"/>
    <n v="0"/>
    <n v="0"/>
    <x v="0"/>
  </r>
  <r>
    <x v="2"/>
    <n v="5599"/>
    <n v="2008"/>
    <n v="10"/>
    <x v="47"/>
    <n v="737.50000999999997"/>
    <n v="94357.23"/>
    <n v="13430833.949999999"/>
    <n v="624.04999999999995"/>
    <n v="3070.6081210765001"/>
    <n v="3070.6081210765001"/>
    <n v="6.5702420519074909E-3"/>
    <n v="0"/>
    <n v="0"/>
    <x v="0"/>
  </r>
  <r>
    <x v="2"/>
    <n v="5599"/>
    <n v="2008"/>
    <n v="11"/>
    <x v="48"/>
    <n v="712.66666999999995"/>
    <n v="145915.56"/>
    <n v="20837122.260000002"/>
    <n v="2390.31"/>
    <n v="4913.9009685972824"/>
    <n v="4913.9009685972824"/>
    <n v="1.6117433517634873E-2"/>
    <n v="0"/>
    <n v="0"/>
    <x v="0"/>
  </r>
  <r>
    <x v="2"/>
    <n v="5599"/>
    <n v="2008"/>
    <n v="12"/>
    <x v="49"/>
    <n v="744"/>
    <n v="166439.67000000001"/>
    <n v="24106361.739999998"/>
    <n v="1003.31"/>
    <n v="5369.021612903226"/>
    <n v="5369.021612903226"/>
    <n v="5.9919502149328677E-3"/>
    <n v="0"/>
    <n v="0"/>
    <x v="0"/>
  </r>
  <r>
    <x v="2"/>
    <n v="5599"/>
    <n v="2009"/>
    <n v="1"/>
    <x v="50"/>
    <n v="740.83331999999996"/>
    <n v="153677.16"/>
    <n v="22255224.02"/>
    <n v="389.76"/>
    <n v="4978.5177588934584"/>
    <n v="4978.5177588934584"/>
    <n v="2.5298097735711208E-3"/>
    <n v="0"/>
    <n v="0"/>
    <x v="0"/>
  </r>
  <r>
    <x v="2"/>
    <n v="5599"/>
    <n v="2009"/>
    <n v="2"/>
    <x v="51"/>
    <n v="656.30834000000004"/>
    <n v="121905.01"/>
    <n v="17427051.539999999"/>
    <n v="0"/>
    <n v="4457.844067622239"/>
    <n v="4457.844067622239"/>
    <n v="0"/>
    <n v="0"/>
    <n v="0"/>
    <x v="0"/>
  </r>
  <r>
    <x v="2"/>
    <n v="5599"/>
    <n v="2009"/>
    <n v="3"/>
    <x v="52"/>
    <n v="506.33334000000002"/>
    <n v="92958.71"/>
    <n v="13123546.99"/>
    <n v="0"/>
    <n v="4406.206077600973"/>
    <n v="4406.206077600973"/>
    <n v="0"/>
    <n v="0"/>
    <n v="0"/>
    <x v="0"/>
  </r>
  <r>
    <x v="2"/>
    <n v="5599"/>
    <n v="2009"/>
    <n v="4"/>
    <x v="53"/>
    <n v="719.16666999999995"/>
    <n v="150955.68"/>
    <n v="20931107.809999999"/>
    <n v="1246.29"/>
    <n v="5037.6866325020319"/>
    <n v="5037.6866325020319"/>
    <n v="8.1883959846249035E-3"/>
    <n v="0"/>
    <n v="0"/>
    <x v="0"/>
  </r>
  <r>
    <x v="2"/>
    <n v="5599"/>
    <n v="2009"/>
    <n v="5"/>
    <x v="54"/>
    <n v="695.16665999999998"/>
    <n v="141039.01"/>
    <n v="19366853.43"/>
    <n v="3106.49"/>
    <n v="4869.2442183576532"/>
    <n v="4869.2442183576532"/>
    <n v="2.1551071660232193E-2"/>
    <n v="0"/>
    <n v="0"/>
    <x v="0"/>
  </r>
  <r>
    <x v="2"/>
    <n v="5599"/>
    <n v="2009"/>
    <n v="6"/>
    <x v="55"/>
    <n v="715.31665999999996"/>
    <n v="132429.71"/>
    <n v="17787475.649999999"/>
    <n v="2658.63"/>
    <n v="4443.2252423702812"/>
    <n v="4443.2252423702812"/>
    <n v="1.9680677103590141E-2"/>
    <n v="0"/>
    <n v="0"/>
    <x v="0"/>
  </r>
  <r>
    <x v="2"/>
    <n v="5599"/>
    <n v="2009"/>
    <n v="7"/>
    <x v="56"/>
    <n v="742.16665999999998"/>
    <n v="106105.25"/>
    <n v="14721967.199999999"/>
    <n v="3289.44"/>
    <n v="3431.2050611381546"/>
    <n v="3431.2050611381546"/>
    <n v="3.006946680867234E-2"/>
    <n v="0"/>
    <n v="0"/>
    <x v="0"/>
  </r>
  <r>
    <x v="2"/>
    <n v="5599"/>
    <n v="2009"/>
    <n v="8"/>
    <x v="57"/>
    <n v="589.07500000000005"/>
    <n v="112414.27"/>
    <n v="15676349.960000001"/>
    <n v="5024.01"/>
    <n v="4579.9643169375713"/>
    <n v="4579.9643169375713"/>
    <n v="4.2780003249366393E-2"/>
    <n v="0"/>
    <n v="0"/>
    <x v="0"/>
  </r>
  <r>
    <x v="2"/>
    <n v="5599"/>
    <n v="2009"/>
    <n v="9"/>
    <x v="58"/>
    <n v="493.25"/>
    <n v="90098.89"/>
    <n v="12553421.689999999"/>
    <n v="2235.08"/>
    <n v="4383.9297719209326"/>
    <n v="4383.9297719209326"/>
    <n v="2.4206475688200127E-2"/>
    <n v="0"/>
    <n v="0"/>
    <x v="0"/>
  </r>
  <r>
    <x v="2"/>
    <n v="5599"/>
    <n v="2009"/>
    <n v="10"/>
    <x v="59"/>
    <n v="683.74166000000002"/>
    <n v="126939.65"/>
    <n v="17819694.280000001"/>
    <n v="6812.79"/>
    <n v="4455.7056827574315"/>
    <n v="4455.7056827574315"/>
    <n v="5.09358184418916E-2"/>
    <n v="0"/>
    <n v="0"/>
    <x v="0"/>
  </r>
  <r>
    <x v="2"/>
    <n v="5599"/>
    <n v="2009"/>
    <n v="11"/>
    <x v="60"/>
    <n v="705.75000999999997"/>
    <n v="136015.67999999999"/>
    <n v="19181583.579999998"/>
    <n v="11286.87"/>
    <n v="4625.4003170329388"/>
    <n v="4625.4003170329388"/>
    <n v="7.6623724436542348E-2"/>
    <n v="0"/>
    <n v="0"/>
    <x v="0"/>
  </r>
  <r>
    <x v="2"/>
    <n v="5599"/>
    <n v="2009"/>
    <n v="12"/>
    <x v="61"/>
    <n v="728.5"/>
    <n v="158001.51999999999"/>
    <n v="22160862.449999999"/>
    <n v="17321.2"/>
    <n v="5205.2662731640348"/>
    <n v="5205.2662731640348"/>
    <n v="9.8796094425183459E-2"/>
    <n v="0"/>
    <n v="0"/>
    <x v="0"/>
  </r>
  <r>
    <x v="2"/>
    <n v="5599"/>
    <n v="2010"/>
    <n v="1"/>
    <x v="62"/>
    <n v="742.16665999999998"/>
    <n v="149658.82999999999"/>
    <n v="21044604.02"/>
    <n v="30230.27"/>
    <n v="4839.6298480990781"/>
    <n v="4839.6298480990781"/>
    <n v="0.16804948159727301"/>
    <n v="0"/>
    <n v="0"/>
    <x v="0"/>
  </r>
  <r>
    <x v="2"/>
    <n v="5599"/>
    <n v="2010"/>
    <n v="2"/>
    <x v="63"/>
    <n v="608.72500000000002"/>
    <n v="103026"/>
    <n v="14520589.939999999"/>
    <n v="43215.66"/>
    <n v="4061.9721549139595"/>
    <n v="4061.9721549139595"/>
    <n v="0.29550854387183517"/>
    <n v="0"/>
    <n v="0"/>
    <x v="0"/>
  </r>
  <r>
    <x v="2"/>
    <n v="5599"/>
    <n v="2010"/>
    <n v="3"/>
    <x v="64"/>
    <n v="647.66665999999998"/>
    <n v="101571.61"/>
    <n v="14278518.800000001"/>
    <n v="53998.5"/>
    <n v="3763.8476558296211"/>
    <n v="3763.8476558296211"/>
    <n v="0.3471007380530875"/>
    <n v="0"/>
    <n v="0"/>
    <x v="0"/>
  </r>
  <r>
    <x v="2"/>
    <n v="5599"/>
    <n v="2010"/>
    <n v="4"/>
    <x v="65"/>
    <n v="705.99999000000003"/>
    <n v="86253.61"/>
    <n v="12161145.93"/>
    <n v="67996.09"/>
    <n v="2932.1340925231457"/>
    <n v="2932.1340925231457"/>
    <n v="0.4408182965671894"/>
    <n v="0"/>
    <n v="0"/>
    <x v="0"/>
  </r>
  <r>
    <x v="2"/>
    <n v="5599"/>
    <n v="2010"/>
    <n v="5"/>
    <x v="66"/>
    <n v="733.16666999999995"/>
    <n v="77113.56"/>
    <n v="10970381.300000001"/>
    <n v="74438.31"/>
    <n v="2524.2901999350302"/>
    <n v="2524.2901999350302"/>
    <n v="0.49117381395557835"/>
    <n v="0"/>
    <n v="0"/>
    <x v="0"/>
  </r>
  <r>
    <x v="2"/>
    <n v="5599"/>
    <n v="2010"/>
    <n v="6"/>
    <x v="67"/>
    <n v="717.16666999999995"/>
    <n v="69617.37"/>
    <n v="9944534.2699999996"/>
    <n v="83268.36"/>
    <n v="2329.7469749953661"/>
    <n v="2329.7469749953661"/>
    <n v="0.5446444216867069"/>
    <n v="0"/>
    <n v="0"/>
    <x v="0"/>
  </r>
  <r>
    <x v="2"/>
    <n v="5599"/>
    <n v="2010"/>
    <n v="7"/>
    <x v="68"/>
    <n v="742.33334000000002"/>
    <n v="64039.69"/>
    <n v="9283376.7699999996"/>
    <n v="95054.15"/>
    <n v="2070.4345031842436"/>
    <n v="2070.4345031842436"/>
    <n v="0.59747222142604639"/>
    <n v="0"/>
    <n v="0"/>
    <x v="0"/>
  </r>
  <r>
    <x v="2"/>
    <n v="5599"/>
    <n v="2010"/>
    <n v="8"/>
    <x v="69"/>
    <n v="427.43333999999999"/>
    <n v="30117.360000000001"/>
    <n v="4346504.25"/>
    <n v="54787.65"/>
    <n v="1691.0628450274844"/>
    <n v="1691.0628450274844"/>
    <n v="0.64528170952456154"/>
    <n v="0"/>
    <n v="0"/>
    <x v="0"/>
  </r>
  <r>
    <x v="2"/>
    <n v="5599"/>
    <n v="2010"/>
    <n v="9"/>
    <x v="70"/>
    <n v="644.74999000000003"/>
    <n v="51312.93"/>
    <n v="7750210.8799999999"/>
    <n v="89428.800000000003"/>
    <n v="1910.0586880195222"/>
    <n v="1910.0586880195222"/>
    <n v="0.63541069162642805"/>
    <n v="0"/>
    <n v="0"/>
    <x v="0"/>
  </r>
  <r>
    <x v="2"/>
    <n v="5599"/>
    <n v="2010"/>
    <n v="10"/>
    <x v="71"/>
    <n v="743.00000999999997"/>
    <n v="51430.58"/>
    <n v="7741377.2400000002"/>
    <n v="99542.87"/>
    <n v="1661.2838538185217"/>
    <n v="1661.2838538185217"/>
    <n v="0.65934023498833727"/>
    <n v="0"/>
    <n v="0"/>
    <x v="0"/>
  </r>
  <r>
    <x v="2"/>
    <n v="5599"/>
    <n v="2010"/>
    <n v="11"/>
    <x v="72"/>
    <n v="690.33333000000005"/>
    <n v="44468.45"/>
    <n v="6747077.6399999997"/>
    <n v="102235.65"/>
    <n v="1545.9818519844607"/>
    <n v="1545.9818519844607"/>
    <n v="0.69688338635389202"/>
    <n v="0"/>
    <n v="0"/>
    <x v="0"/>
  </r>
  <r>
    <x v="2"/>
    <n v="5599"/>
    <n v="2010"/>
    <n v="12"/>
    <x v="73"/>
    <n v="741.33333000000005"/>
    <n v="45217.96"/>
    <n v="6910660.46"/>
    <n v="111335.89"/>
    <n v="1463.8907979491491"/>
    <n v="1463.8907979491491"/>
    <n v="0.71116673272487385"/>
    <n v="0"/>
    <n v="0"/>
    <x v="0"/>
  </r>
  <r>
    <x v="2"/>
    <n v="5599"/>
    <n v="2011"/>
    <n v="1"/>
    <x v="74"/>
    <n v="743.5"/>
    <n v="44746.55"/>
    <n v="6824000.8899999997"/>
    <n v="116885.54"/>
    <n v="1444.407800941493"/>
    <n v="1444.407800941493"/>
    <n v="0.72315800655674256"/>
    <n v="0"/>
    <n v="0"/>
    <x v="0"/>
  </r>
  <r>
    <x v="2"/>
    <n v="5599"/>
    <n v="2011"/>
    <n v="2"/>
    <x v="75"/>
    <n v="557.24999000000003"/>
    <n v="29157.49"/>
    <n v="4519227.07"/>
    <n v="85274.18"/>
    <n v="1255.7734814853923"/>
    <n v="1255.7734814853923"/>
    <n v="0.74519737411854603"/>
    <n v="0"/>
    <n v="0"/>
    <x v="0"/>
  </r>
  <r>
    <x v="2"/>
    <n v="5599"/>
    <n v="2011"/>
    <n v="3"/>
    <x v="76"/>
    <n v="729.83334000000002"/>
    <n v="37395.050000000003"/>
    <n v="5760219.21"/>
    <n v="113239.35"/>
    <n v="1229.7070451728061"/>
    <n v="1229.7070451728061"/>
    <n v="0.75174960035689053"/>
    <n v="0"/>
    <n v="0"/>
    <x v="0"/>
  </r>
  <r>
    <x v="2"/>
    <n v="5599"/>
    <n v="2011"/>
    <n v="4"/>
    <x v="77"/>
    <n v="717.91666999999995"/>
    <n v="37819.72"/>
    <n v="5877460.8700000001"/>
    <n v="116196.38"/>
    <n v="1264.3156482214015"/>
    <n v="1264.3156482214015"/>
    <n v="0.75444307445780023"/>
    <n v="0"/>
    <n v="0"/>
    <x v="0"/>
  </r>
  <r>
    <x v="2"/>
    <n v="5599"/>
    <n v="2011"/>
    <n v="5"/>
    <x v="78"/>
    <n v="736.04166999999995"/>
    <n v="37204.71"/>
    <n v="5801740.29"/>
    <n v="119567.47"/>
    <n v="1213.1283817124104"/>
    <n v="1213.1283817124104"/>
    <n v="0.76268295816260256"/>
    <n v="0"/>
    <n v="0"/>
    <x v="0"/>
  </r>
  <r>
    <x v="2"/>
    <n v="5599"/>
    <n v="2011"/>
    <n v="6"/>
    <x v="79"/>
    <n v="463.26666999999998"/>
    <n v="22026.06"/>
    <n v="3412025.77"/>
    <n v="74563.44"/>
    <n v="1141.0823921349663"/>
    <n v="1141.0823921349663"/>
    <n v="0.77196216980106536"/>
    <n v="0"/>
    <n v="0"/>
    <x v="0"/>
  </r>
  <r>
    <x v="2"/>
    <n v="5599"/>
    <n v="2011"/>
    <n v="7"/>
    <x v="80"/>
    <n v="245.24669"/>
    <n v="12462.42"/>
    <n v="1823751.35"/>
    <n v="31887.51"/>
    <n v="1219.5804966827484"/>
    <n v="1219.5804966827484"/>
    <n v="0.71899797812533184"/>
    <n v="0"/>
    <n v="0"/>
    <x v="0"/>
  </r>
  <r>
    <x v="2"/>
    <n v="5599"/>
    <n v="2011"/>
    <n v="8"/>
    <x v="81"/>
    <n v="651.49332000000004"/>
    <n v="36380.15"/>
    <n v="5446516.5300000003"/>
    <n v="99004.87"/>
    <n v="1340.1881081451456"/>
    <n v="1340.1881081451456"/>
    <n v="0.73128378604959399"/>
    <n v="0"/>
    <n v="0"/>
    <x v="0"/>
  </r>
  <r>
    <x v="2"/>
    <n v="5599"/>
    <n v="2011"/>
    <n v="9"/>
    <x v="82"/>
    <n v="707"/>
    <n v="29999.17"/>
    <n v="4566406.76"/>
    <n v="110471.84"/>
    <n v="1018.3593776520509"/>
    <n v="1018.3593776520509"/>
    <n v="0.78643871073469174"/>
    <n v="0"/>
    <n v="0"/>
    <x v="0"/>
  </r>
  <r>
    <x v="2"/>
    <n v="5599"/>
    <n v="2011"/>
    <n v="10"/>
    <x v="83"/>
    <n v="325.66165999999998"/>
    <n v="12647.5"/>
    <n v="1919664.23"/>
    <n v="52875.8"/>
    <n v="932.07164761120487"/>
    <n v="932.07164761120487"/>
    <n v="0.8069770600687084"/>
    <n v="0"/>
    <n v="0"/>
    <x v="0"/>
  </r>
  <r>
    <x v="2"/>
    <n v="5599"/>
    <n v="2011"/>
    <n v="11"/>
    <x v="84"/>
    <n v="459.33334000000002"/>
    <n v="21789.05"/>
    <n v="3242433.68"/>
    <n v="75772.929999999993"/>
    <n v="1138.4699399351241"/>
    <n v="1138.4699399351241"/>
    <n v="0.77666453673859426"/>
    <n v="0"/>
    <n v="0"/>
    <x v="0"/>
  </r>
  <r>
    <x v="2"/>
    <n v="5599"/>
    <n v="2011"/>
    <n v="12"/>
    <x v="85"/>
    <n v="424.82166000000001"/>
    <n v="18090.2"/>
    <n v="2650493.31"/>
    <n v="64676.69"/>
    <n v="1021.9930876405878"/>
    <n v="1021.9930876405878"/>
    <n v="0.78143192283774343"/>
    <n v="0"/>
    <n v="0"/>
    <x v="0"/>
  </r>
  <r>
    <x v="2"/>
    <n v="5599"/>
    <n v="2012"/>
    <n v="1"/>
    <x v="86"/>
    <n v="399.65834000000001"/>
    <n v="18217.849999999999"/>
    <n v="2722573.45"/>
    <n v="63857.71"/>
    <n v="1094.0054447506336"/>
    <n v="1094.0054447506336"/>
    <n v="0.7780356296076445"/>
    <n v="0"/>
    <n v="0"/>
    <x v="0"/>
  </r>
  <r>
    <x v="2"/>
    <n v="5599"/>
    <n v="2012"/>
    <n v="2"/>
    <x v="87"/>
    <n v="688.75833"/>
    <n v="27362.26"/>
    <n v="4289924.83"/>
    <n v="133954.93"/>
    <n v="953.44653036718989"/>
    <n v="953.44653036718989"/>
    <n v="0.83038224258679427"/>
    <n v="0"/>
    <n v="0"/>
    <x v="0"/>
  </r>
  <r>
    <x v="2"/>
    <n v="5599"/>
    <n v="2012"/>
    <n v="3"/>
    <x v="88"/>
    <n v="740.41665999999998"/>
    <n v="26679.88"/>
    <n v="4276185.92"/>
    <n v="142184.01"/>
    <n v="864.80647261502736"/>
    <n v="864.80647261502736"/>
    <n v="0.84200363973612113"/>
    <n v="0"/>
    <n v="0"/>
    <x v="0"/>
  </r>
  <r>
    <x v="2"/>
    <n v="5599"/>
    <n v="2012"/>
    <n v="4"/>
    <x v="89"/>
    <n v="710.29166999999995"/>
    <n v="24088.35"/>
    <n v="3866150.19"/>
    <n v="138112.43"/>
    <n v="813.91972399169492"/>
    <n v="813.91972399169492"/>
    <n v="0.85149054153746973"/>
    <n v="0"/>
    <n v="0"/>
    <x v="0"/>
  </r>
  <r>
    <x v="2"/>
    <n v="5599"/>
    <n v="2012"/>
    <n v="5"/>
    <x v="90"/>
    <n v="737.69167000000004"/>
    <n v="22415.15"/>
    <n v="3630958.27"/>
    <n v="140203.43"/>
    <n v="729.2526429097403"/>
    <n v="729.2526429097403"/>
    <n v="0.8621611995382078"/>
    <n v="0"/>
    <n v="0"/>
    <x v="0"/>
  </r>
  <r>
    <x v="2"/>
    <n v="5599"/>
    <n v="2012"/>
    <n v="6"/>
    <x v="91"/>
    <n v="711.33334000000002"/>
    <n v="20887.38"/>
    <n v="3394646.36"/>
    <n v="134081.24"/>
    <n v="704.72884063047013"/>
    <n v="704.72884063047013"/>
    <n v="0.865215422322274"/>
    <n v="0"/>
    <n v="0"/>
    <x v="0"/>
  </r>
  <r>
    <x v="2"/>
    <n v="5599"/>
    <n v="2012"/>
    <n v="7"/>
    <x v="92"/>
    <n v="744"/>
    <n v="21206.94"/>
    <n v="3444768.69"/>
    <n v="140164.53"/>
    <n v="684.09483870967733"/>
    <n v="684.09483870967733"/>
    <n v="0.86858308968741504"/>
    <n v="0"/>
    <n v="0"/>
    <x v="0"/>
  </r>
  <r>
    <x v="2"/>
    <n v="5599"/>
    <n v="2012"/>
    <n v="8"/>
    <x v="93"/>
    <n v="288.625"/>
    <n v="8998.24"/>
    <n v="1376155.08"/>
    <n v="54786.62"/>
    <n v="748.22957124296238"/>
    <n v="748.22957124296238"/>
    <n v="0.85892827859150278"/>
    <n v="0"/>
    <n v="0"/>
    <x v="0"/>
  </r>
  <r>
    <x v="2"/>
    <n v="5599"/>
    <n v="2012"/>
    <n v="9"/>
    <x v="94"/>
    <n v="26.99166"/>
    <n v="1013.93"/>
    <n v="156920.4"/>
    <n v="4513.08"/>
    <n v="901.54958976217085"/>
    <n v="901.54958976217085"/>
    <n v="0.81654999719559029"/>
    <n v="0"/>
    <n v="0"/>
    <x v="0"/>
  </r>
  <r>
    <x v="2"/>
    <n v="5599"/>
    <n v="2012"/>
    <n v="10"/>
    <x v="95"/>
    <n v="610.17499999999995"/>
    <n v="19612.849999999999"/>
    <n v="3067585.4"/>
    <n v="121317.43"/>
    <n v="771.43180235178431"/>
    <n v="771.43180235178431"/>
    <n v="0.86083295938956483"/>
    <n v="0"/>
    <n v="0"/>
    <x v="0"/>
  </r>
  <r>
    <x v="2"/>
    <n v="5599"/>
    <n v="2012"/>
    <n v="11"/>
    <x v="96"/>
    <n v="720"/>
    <n v="19018.88"/>
    <n v="3086439.76"/>
    <n v="134909.35999999999"/>
    <n v="633.96266666666668"/>
    <n v="633.96266666666668"/>
    <n v="0.87644320496355965"/>
    <n v="0"/>
    <n v="0"/>
    <x v="0"/>
  </r>
  <r>
    <x v="2"/>
    <n v="5599"/>
    <n v="2012"/>
    <n v="12"/>
    <x v="97"/>
    <n v="700.24999000000003"/>
    <n v="16320.65"/>
    <n v="2717290.03"/>
    <n v="131667.43"/>
    <n v="559.36537749897002"/>
    <n v="559.36537749897002"/>
    <n v="0.88971645554155443"/>
    <n v="0"/>
    <n v="0"/>
    <x v="0"/>
  </r>
  <r>
    <x v="2"/>
    <n v="5599"/>
    <n v="2013"/>
    <n v="1"/>
    <x v="98"/>
    <n v="744"/>
    <n v="17408.57"/>
    <n v="2881178.96"/>
    <n v="139783.93"/>
    <n v="561.56677419354833"/>
    <n v="561.56677419354833"/>
    <n v="0.88925317683731731"/>
    <n v="0"/>
    <n v="0"/>
    <x v="0"/>
  </r>
  <r>
    <x v="2"/>
    <n v="5599"/>
    <n v="2013"/>
    <n v="2"/>
    <x v="99"/>
    <n v="672"/>
    <n v="15087.38"/>
    <n v="2461248.52"/>
    <n v="126325.44"/>
    <n v="538.83499999999992"/>
    <n v="538.83499999999992"/>
    <n v="0.893309673055102"/>
    <n v="0"/>
    <n v="0"/>
    <x v="0"/>
  </r>
  <r>
    <x v="2"/>
    <n v="5599"/>
    <n v="2013"/>
    <n v="3"/>
    <x v="100"/>
    <n v="307.76832999999999"/>
    <n v="6305.81"/>
    <n v="1053665.6200000001"/>
    <n v="57120.76"/>
    <n v="491.7316866228569"/>
    <n v="491.7316866228569"/>
    <n v="0.90058093950216767"/>
    <n v="0"/>
    <n v="0"/>
    <x v="0"/>
  </r>
  <r>
    <x v="2"/>
    <n v="5599"/>
    <n v="2013"/>
    <n v="4"/>
    <x v="101"/>
    <n v="513.46573000000001"/>
    <n v="12351.34"/>
    <n v="2055291.86"/>
    <n v="102945.43"/>
    <n v="577.31634786999314"/>
    <n v="577.31634786999314"/>
    <n v="0.89287349506842217"/>
    <n v="0"/>
    <n v="0"/>
    <x v="0"/>
  </r>
  <r>
    <x v="2"/>
    <n v="5599"/>
    <n v="2013"/>
    <n v="5"/>
    <x v="102"/>
    <n v="732.05834000000004"/>
    <n v="16313.4"/>
    <n v="2757755.17"/>
    <n v="147164.69"/>
    <n v="534.82294867373548"/>
    <n v="534.82294867373548"/>
    <n v="0.90021048080510369"/>
    <n v="0"/>
    <n v="0"/>
    <x v="0"/>
  </r>
  <r>
    <x v="2"/>
    <n v="5599"/>
    <n v="2013"/>
    <n v="6"/>
    <x v="103"/>
    <n v="566.67499999999995"/>
    <n v="11899.57"/>
    <n v="2037219.83"/>
    <n v="112559.07"/>
    <n v="503.97437684739936"/>
    <n v="503.97437684739936"/>
    <n v="0.90438936179922902"/>
    <n v="0"/>
    <n v="0"/>
    <x v="0"/>
  </r>
  <r>
    <x v="2"/>
    <n v="5599"/>
    <n v="2013"/>
    <n v="7"/>
    <x v="25"/>
    <n v="581.27499999999998"/>
    <n v="11861.63"/>
    <n v="1919702.47"/>
    <n v="112172.58"/>
    <n v="489.74946453915959"/>
    <n v="489.74946453915959"/>
    <n v="0.90436807716193779"/>
    <n v="0"/>
    <n v="0"/>
    <x v="0"/>
  </r>
  <r>
    <x v="2"/>
    <n v="5599"/>
    <n v="2013"/>
    <n v="8"/>
    <x v="26"/>
    <n v="687.97685000000001"/>
    <n v="15147.18"/>
    <n v="2354241.4900000002"/>
    <n v="152994.91"/>
    <n v="528.40778000015553"/>
    <n v="528.40778000015553"/>
    <n v="0.90991440632146303"/>
    <n v="0"/>
    <n v="0"/>
    <x v="0"/>
  </r>
  <r>
    <x v="2"/>
    <n v="5599"/>
    <n v="2013"/>
    <n v="9"/>
    <x v="27"/>
    <n v="589.98500000000001"/>
    <n v="9223.5300000000007"/>
    <n v="1446819.31"/>
    <n v="104678.41"/>
    <n v="375.20397976219738"/>
    <n v="375.20397976219738"/>
    <n v="0.91902218697943161"/>
    <n v="0"/>
    <n v="0"/>
    <x v="0"/>
  </r>
  <r>
    <x v="2"/>
    <n v="5599"/>
    <n v="2013"/>
    <n v="10"/>
    <x v="28"/>
    <n v="680"/>
    <n v="8305.01"/>
    <n v="1283583.5"/>
    <n v="137534.62"/>
    <n v="293.11799999999999"/>
    <n v="293.11799999999999"/>
    <n v="0.94305381877340189"/>
    <n v="0"/>
    <n v="0"/>
    <x v="0"/>
  </r>
  <r>
    <x v="2"/>
    <n v="5599"/>
    <n v="2013"/>
    <n v="11"/>
    <x v="29"/>
    <n v="648.64166999999998"/>
    <n v="7170.56"/>
    <n v="1102962.23"/>
    <n v="122993.19"/>
    <n v="265.31357444241905"/>
    <n v="265.31357444241905"/>
    <n v="0.9449112368074829"/>
    <n v="0"/>
    <n v="0"/>
    <x v="0"/>
  </r>
  <r>
    <x v="2"/>
    <n v="5599"/>
    <n v="2013"/>
    <n v="12"/>
    <x v="30"/>
    <n v="633.4"/>
    <n v="7079.52"/>
    <n v="1101388.53"/>
    <n v="125859.26"/>
    <n v="268.24831070413643"/>
    <n v="268.24831070413643"/>
    <n v="0.94674601346574716"/>
    <n v="0"/>
    <n v="0"/>
    <x v="0"/>
  </r>
  <r>
    <x v="2"/>
    <n v="5599"/>
    <n v="2014"/>
    <n v="1"/>
    <x v="31"/>
    <n v="486.14168000000001"/>
    <n v="4997.24"/>
    <n v="766195.72"/>
    <n v="87030.26"/>
    <n v="246.70536375321697"/>
    <n v="246.70536375321697"/>
    <n v="0.94569840536796057"/>
    <n v="0"/>
    <n v="0"/>
    <x v="0"/>
  </r>
  <r>
    <x v="2"/>
    <n v="5599"/>
    <n v="2014"/>
    <n v="2"/>
    <x v="32"/>
    <n v="561.9"/>
    <n v="6101.4"/>
    <n v="921967.01"/>
    <n v="110297.86"/>
    <n v="260.60437800320341"/>
    <n v="260.60437800320341"/>
    <n v="0.9475821409861197"/>
    <n v="0"/>
    <n v="0"/>
    <x v="0"/>
  </r>
  <r>
    <x v="2"/>
    <n v="5599"/>
    <n v="2014"/>
    <n v="3"/>
    <x v="33"/>
    <n v="656.72425999999996"/>
    <n v="6835.66"/>
    <n v="1036071.18"/>
    <n v="127351.18"/>
    <n v="249.80931875426683"/>
    <n v="249.80931875426683"/>
    <n v="0.94905864092186687"/>
    <n v="0"/>
    <n v="0"/>
    <x v="0"/>
  </r>
  <r>
    <x v="2"/>
    <n v="5599"/>
    <n v="2014"/>
    <n v="4"/>
    <x v="0"/>
    <n v="693.01832999999999"/>
    <n v="5892.01"/>
    <n v="883605"/>
    <n v="141144.82"/>
    <n v="204.04689728769512"/>
    <n v="204.04689728769512"/>
    <n v="0.95992833904267383"/>
    <n v="0"/>
    <n v="0"/>
    <x v="0"/>
  </r>
  <r>
    <x v="2"/>
    <n v="5599"/>
    <n v="2014"/>
    <n v="5"/>
    <x v="1"/>
    <n v="427.32999000000001"/>
    <n v="3237.7"/>
    <n v="469664"/>
    <n v="88748.26"/>
    <n v="181.83792810797107"/>
    <n v="181.83792810797107"/>
    <n v="0.96480223721098313"/>
    <n v="0"/>
    <n v="0"/>
    <x v="0"/>
  </r>
  <r>
    <x v="2"/>
    <n v="5599"/>
    <n v="2014"/>
    <n v="6"/>
    <x v="2"/>
    <n v="707.33333000000005"/>
    <n v="5751.2"/>
    <n v="846733.74"/>
    <n v="152034.68"/>
    <n v="195.13968046719924"/>
    <n v="195.13968046719924"/>
    <n v="0.96355060414784888"/>
    <n v="0"/>
    <n v="0"/>
    <x v="0"/>
  </r>
  <r>
    <x v="2"/>
    <n v="5599"/>
    <n v="2014"/>
    <n v="7"/>
    <x v="3"/>
    <n v="743.16666999999995"/>
    <n v="5791.84"/>
    <n v="864045.93"/>
    <n v="152314.38"/>
    <n v="187.04304917226713"/>
    <n v="187.04304917226713"/>
    <n v="0.96336741211066845"/>
    <n v="0"/>
    <n v="0"/>
    <x v="0"/>
  </r>
  <r>
    <x v="2"/>
    <n v="5599"/>
    <n v="2014"/>
    <n v="8"/>
    <x v="4"/>
    <n v="593.36666000000002"/>
    <n v="4448.49"/>
    <n v="704538.16"/>
    <n v="126629.09"/>
    <n v="179.92881500959285"/>
    <n v="179.92881500959285"/>
    <n v="0.96606215952415364"/>
    <n v="0"/>
    <n v="0"/>
    <x v="0"/>
  </r>
  <r>
    <x v="2"/>
    <n v="5599"/>
    <n v="2014"/>
    <n v="9"/>
    <x v="5"/>
    <n v="685.83333000000005"/>
    <n v="5062.59"/>
    <n v="803970.67"/>
    <n v="149375.78"/>
    <n v="177.1598939351635"/>
    <n v="177.1598939351635"/>
    <n v="0.96721935099418621"/>
    <n v="0"/>
    <n v="0"/>
    <x v="0"/>
  </r>
  <r>
    <x v="2"/>
    <n v="5599"/>
    <n v="2014"/>
    <n v="10"/>
    <x v="6"/>
    <n v="745"/>
    <n v="5385.61"/>
    <n v="833120.57"/>
    <n v="155365.68"/>
    <n v="173.49616107382548"/>
    <n v="173.49616107382548"/>
    <n v="0.96649725174833756"/>
    <n v="0"/>
    <n v="0"/>
    <x v="0"/>
  </r>
  <r>
    <x v="2"/>
    <n v="5599"/>
    <n v="2014"/>
    <n v="11"/>
    <x v="7"/>
    <n v="580.94167000000004"/>
    <n v="4495.0600000000004"/>
    <n v="700998.22"/>
    <n v="114660.7"/>
    <n v="185.70098440347721"/>
    <n v="185.70098440347721"/>
    <n v="0.96227576409231075"/>
    <n v="0"/>
    <n v="0"/>
    <x v="0"/>
  </r>
  <r>
    <x v="2"/>
    <n v="5599"/>
    <n v="2014"/>
    <n v="12"/>
    <x v="8"/>
    <n v="0"/>
    <n v="0"/>
    <n v="0"/>
    <n v="0"/>
    <s v=""/>
    <s v=""/>
    <s v=""/>
    <n v="0"/>
    <n v="0"/>
    <x v="1"/>
  </r>
  <r>
    <x v="2"/>
    <n v="5599"/>
    <n v="2015"/>
    <n v="1"/>
    <x v="9"/>
    <n v="715.58333000000005"/>
    <n v="25712.55"/>
    <n v="3780459.43"/>
    <n v="11588.22"/>
    <n v="862.37503604227334"/>
    <n v="862.37503604227334"/>
    <n v="0.3106697261209353"/>
    <n v="0"/>
    <n v="0"/>
    <x v="0"/>
  </r>
  <r>
    <x v="2"/>
    <n v="5599"/>
    <n v="2015"/>
    <n v="2"/>
    <x v="10"/>
    <n v="622.79665999999997"/>
    <n v="19578.55"/>
    <n v="2960674.24"/>
    <n v="15115.5"/>
    <n v="754.47610781984611"/>
    <n v="754.47610781984611"/>
    <n v="0.43567989323817768"/>
    <n v="0"/>
    <n v="0"/>
    <x v="0"/>
  </r>
  <r>
    <x v="2"/>
    <n v="5599"/>
    <n v="2015"/>
    <n v="3"/>
    <x v="11"/>
    <n v="665.125"/>
    <n v="19341.43"/>
    <n v="2853432.83"/>
    <n v="19255.66"/>
    <n v="697.90538620560039"/>
    <n v="697.90538620560039"/>
    <n v="0.4988889058734739"/>
    <n v="0"/>
    <n v="0"/>
    <x v="0"/>
  </r>
  <r>
    <x v="2"/>
    <n v="5599"/>
    <n v="2015"/>
    <n v="4"/>
    <x v="12"/>
    <n v="720"/>
    <n v="19796.560000000001"/>
    <n v="2889394.96"/>
    <n v="20808.060000000001"/>
    <n v="659.88533333333339"/>
    <n v="659.88533333333339"/>
    <n v="0.51245547920409051"/>
    <n v="0"/>
    <n v="0"/>
    <x v="0"/>
  </r>
  <r>
    <x v="2"/>
    <n v="5599"/>
    <n v="2015"/>
    <n v="5"/>
    <x v="13"/>
    <n v="744"/>
    <n v="16996.48"/>
    <n v="2479620.4"/>
    <n v="25200.83"/>
    <n v="548.27354838709675"/>
    <n v="548.27354838709675"/>
    <n v="0.59721413521383238"/>
    <n v="0"/>
    <n v="0"/>
    <x v="0"/>
  </r>
  <r>
    <x v="2"/>
    <n v="5599"/>
    <n v="2015"/>
    <n v="6"/>
    <x v="14"/>
    <n v="709.31667000000004"/>
    <n v="19536.3"/>
    <n v="2859707.1"/>
    <n v="32902.68"/>
    <n v="661.01815991438627"/>
    <n v="661.01815991438627"/>
    <n v="0.62744698695512391"/>
    <n v="0"/>
    <n v="0"/>
    <x v="0"/>
  </r>
  <r>
    <x v="2"/>
    <n v="5599"/>
    <n v="2015"/>
    <n v="7"/>
    <x v="15"/>
    <n v="744"/>
    <n v="19157.45"/>
    <n v="2846820.92"/>
    <n v="36480.53"/>
    <n v="617.98225806451615"/>
    <n v="617.98225806451615"/>
    <n v="0.6556767517440425"/>
    <n v="0"/>
    <n v="0"/>
    <x v="0"/>
  </r>
  <r>
    <x v="2"/>
    <n v="5599"/>
    <n v="2015"/>
    <n v="8"/>
    <x v="16"/>
    <n v="636.68332999999996"/>
    <n v="13473.27"/>
    <n v="2047120.71"/>
    <n v="31629.02"/>
    <n v="507.87960790492195"/>
    <n v="507.87960790492195"/>
    <n v="0.70127303957293519"/>
    <n v="0"/>
    <n v="0"/>
    <x v="0"/>
  </r>
  <r>
    <x v="2"/>
    <n v="5599"/>
    <n v="2015"/>
    <n v="9"/>
    <x v="17"/>
    <n v="719.32485999999994"/>
    <n v="12494.51"/>
    <n v="1888048.66"/>
    <n v="35065.360000000001"/>
    <n v="416.87456763276612"/>
    <n v="416.87456763276612"/>
    <n v="0.73728881092399956"/>
    <n v="0"/>
    <n v="0"/>
    <x v="0"/>
  </r>
  <r>
    <x v="2"/>
    <n v="5599"/>
    <n v="2015"/>
    <n v="10"/>
    <x v="18"/>
    <n v="738.66666999999995"/>
    <n v="11888.63"/>
    <n v="1821328.15"/>
    <n v="38151.120000000003"/>
    <n v="386.27317515219687"/>
    <n v="386.27317515219687"/>
    <n v="0.76241627905814879"/>
    <n v="0"/>
    <n v="0"/>
    <x v="0"/>
  </r>
  <r>
    <x v="2"/>
    <n v="5599"/>
    <n v="2015"/>
    <n v="11"/>
    <x v="19"/>
    <n v="719.50000999999997"/>
    <n v="11369.48"/>
    <n v="1748311.35"/>
    <n v="37662.5"/>
    <n v="379.24602669567719"/>
    <n v="379.24602669567719"/>
    <n v="0.76812113237115864"/>
    <n v="0"/>
    <n v="0"/>
    <x v="0"/>
  </r>
  <r>
    <x v="2"/>
    <n v="5599"/>
    <n v="2015"/>
    <n v="12"/>
    <x v="20"/>
    <n v="731.33334000000002"/>
    <n v="10855.97"/>
    <n v="1662453.18"/>
    <n v="37288"/>
    <n v="356.25790012526977"/>
    <n v="356.25790012526977"/>
    <n v="0.77451028654263454"/>
    <n v="0"/>
    <n v="0"/>
    <x v="0"/>
  </r>
  <r>
    <x v="2"/>
    <n v="5599"/>
    <n v="2016"/>
    <n v="1"/>
    <x v="21"/>
    <n v="736.49999000000003"/>
    <n v="9494.98"/>
    <n v="1487340.06"/>
    <n v="38969.86"/>
    <n v="309.40872110534582"/>
    <n v="309.40872110534582"/>
    <n v="0.80408518835510456"/>
    <n v="0"/>
    <n v="0"/>
    <x v="0"/>
  </r>
  <r>
    <x v="2"/>
    <n v="5599"/>
    <n v="2016"/>
    <n v="2"/>
    <x v="22"/>
    <n v="695.58333000000005"/>
    <n v="7644.12"/>
    <n v="1205549.1000000001"/>
    <n v="35253.46"/>
    <n v="263.74824135017724"/>
    <n v="263.74824135017724"/>
    <n v="0.82180533260850608"/>
    <n v="0"/>
    <n v="0"/>
    <x v="0"/>
  </r>
  <r>
    <x v="2"/>
    <n v="5599"/>
    <n v="2016"/>
    <n v="3"/>
    <x v="23"/>
    <n v="743"/>
    <n v="7359.93"/>
    <n v="1185893.56"/>
    <n v="40507.21"/>
    <n v="237.73663526244954"/>
    <n v="237.73663526244954"/>
    <n v="0.84624253715596964"/>
    <n v="0"/>
    <n v="0"/>
    <x v="0"/>
  </r>
  <r>
    <x v="2"/>
    <n v="5599"/>
    <n v="2016"/>
    <n v="4"/>
    <x v="24"/>
    <n v="718.83333000000005"/>
    <n v="6152.17"/>
    <n v="1015034.36"/>
    <n v="37126.04"/>
    <n v="205.40516673037405"/>
    <n v="205.40516673037405"/>
    <n v="0.85784601535045002"/>
    <n v="0"/>
    <n v="0"/>
    <x v="0"/>
  </r>
  <r>
    <x v="2"/>
    <n v="5599"/>
    <n v="2016"/>
    <n v="5"/>
    <x v="34"/>
    <n v="740.5"/>
    <n v="5865.13"/>
    <n v="925513.84"/>
    <n v="36147.78"/>
    <n v="190.09199189736665"/>
    <n v="190.09199189736665"/>
    <n v="0.86039695893476553"/>
    <n v="0"/>
    <n v="0"/>
    <x v="0"/>
  </r>
  <r>
    <x v="2"/>
    <n v="5599"/>
    <n v="2016"/>
    <n v="6"/>
    <x v="35"/>
    <n v="703.25833"/>
    <n v="5408.31"/>
    <n v="870533.4"/>
    <n v="34608.449999999997"/>
    <n v="184.5686491904049"/>
    <n v="184.5686491904049"/>
    <n v="0.86484887831998392"/>
    <n v="0"/>
    <n v="0"/>
    <x v="0"/>
  </r>
  <r>
    <x v="2"/>
    <n v="5599"/>
    <n v="2016"/>
    <n v="7"/>
    <x v="36"/>
    <n v="703.72592999999995"/>
    <n v="4533.82"/>
    <n v="729319.16"/>
    <n v="29940.18"/>
    <n v="154.62224050774995"/>
    <n v="154.62224050774995"/>
    <n v="0.86848581539711089"/>
    <n v="0"/>
    <n v="0"/>
    <x v="0"/>
  </r>
  <r>
    <x v="2"/>
    <n v="5599"/>
    <n v="2016"/>
    <n v="8"/>
    <x v="37"/>
    <n v="285.89166999999998"/>
    <n v="1442.03"/>
    <n v="232557.71"/>
    <n v="10937.14"/>
    <n v="121.05536338292055"/>
    <n v="121.05536338292055"/>
    <n v="0.88351157630115751"/>
    <n v="0"/>
    <n v="0"/>
    <x v="0"/>
  </r>
  <r>
    <x v="2"/>
    <n v="5599"/>
    <n v="2016"/>
    <n v="9"/>
    <x v="38"/>
    <n v="0"/>
    <n v="0"/>
    <n v="0"/>
    <n v="0"/>
    <s v=""/>
    <s v=""/>
    <s v=""/>
    <n v="0"/>
    <n v="0"/>
    <x v="1"/>
  </r>
  <r>
    <x v="3"/>
    <n v="5351"/>
    <n v="2008"/>
    <n v="2"/>
    <x v="39"/>
    <n v="0"/>
    <n v="0"/>
    <n v="0"/>
    <n v="0"/>
    <s v=""/>
    <s v=""/>
    <s v=""/>
    <n v="0"/>
    <n v="0"/>
    <x v="1"/>
  </r>
  <r>
    <x v="3"/>
    <n v="5351"/>
    <n v="2008"/>
    <n v="3"/>
    <x v="40"/>
    <n v="0"/>
    <n v="0"/>
    <n v="0"/>
    <n v="0"/>
    <s v=""/>
    <s v=""/>
    <s v=""/>
    <n v="0"/>
    <n v="0"/>
    <x v="1"/>
  </r>
  <r>
    <x v="3"/>
    <n v="5351"/>
    <n v="2008"/>
    <n v="4"/>
    <x v="41"/>
    <n v="0"/>
    <n v="0"/>
    <n v="0"/>
    <n v="0"/>
    <s v=""/>
    <s v=""/>
    <s v=""/>
    <n v="0"/>
    <n v="0"/>
    <x v="1"/>
  </r>
  <r>
    <x v="3"/>
    <n v="5351"/>
    <n v="2008"/>
    <n v="5"/>
    <x v="42"/>
    <n v="0"/>
    <n v="0"/>
    <n v="0"/>
    <n v="0"/>
    <s v=""/>
    <s v=""/>
    <s v=""/>
    <n v="0"/>
    <n v="0"/>
    <x v="1"/>
  </r>
  <r>
    <x v="3"/>
    <n v="5351"/>
    <n v="2008"/>
    <n v="6"/>
    <x v="43"/>
    <n v="0"/>
    <n v="0"/>
    <n v="0"/>
    <n v="0"/>
    <s v=""/>
    <s v=""/>
    <s v=""/>
    <n v="0"/>
    <n v="0"/>
    <x v="1"/>
  </r>
  <r>
    <x v="3"/>
    <n v="5351"/>
    <n v="2008"/>
    <n v="7"/>
    <x v="44"/>
    <n v="437.57"/>
    <n v="51285.08"/>
    <n v="7538861.0700000003"/>
    <n v="126.17"/>
    <n v="2812.9028955367144"/>
    <n v="2812.9028955367144"/>
    <n v="2.454132120887938E-3"/>
    <n v="0"/>
    <n v="0"/>
    <x v="0"/>
  </r>
  <r>
    <x v="3"/>
    <n v="5351"/>
    <n v="2008"/>
    <n v="8"/>
    <x v="45"/>
    <n v="458.4"/>
    <n v="67621.2"/>
    <n v="9780532.3399999999"/>
    <n v="222.53"/>
    <n v="3540.3769633507854"/>
    <n v="3540.3769633507854"/>
    <n v="3.2800378163169979E-3"/>
    <n v="0"/>
    <n v="0"/>
    <x v="0"/>
  </r>
  <r>
    <x v="3"/>
    <n v="5351"/>
    <n v="2008"/>
    <n v="9"/>
    <x v="46"/>
    <n v="642.70833000000005"/>
    <n v="114596.26"/>
    <n v="16340514.75"/>
    <n v="275.73"/>
    <n v="4279.2509628745584"/>
    <n v="4279.2509628745584"/>
    <n v="2.4003240476638391E-3"/>
    <n v="0"/>
    <n v="0"/>
    <x v="0"/>
  </r>
  <r>
    <x v="3"/>
    <n v="5351"/>
    <n v="2008"/>
    <n v="10"/>
    <x v="47"/>
    <n v="742.5"/>
    <n v="142817.06"/>
    <n v="20326866.32"/>
    <n v="101.25"/>
    <n v="4616.3090101010102"/>
    <n v="4616.3090101010102"/>
    <n v="7.0844666439170739E-4"/>
    <n v="0"/>
    <n v="0"/>
    <x v="0"/>
  </r>
  <r>
    <x v="3"/>
    <n v="5351"/>
    <n v="2008"/>
    <n v="11"/>
    <x v="48"/>
    <n v="717.83333000000005"/>
    <n v="104409.61"/>
    <n v="14906020.01"/>
    <n v="189.89"/>
    <n v="3490.8251473918044"/>
    <n v="3490.8251473918044"/>
    <n v="1.8154006472306272E-3"/>
    <n v="0"/>
    <n v="0"/>
    <x v="0"/>
  </r>
  <r>
    <x v="3"/>
    <n v="5351"/>
    <n v="2008"/>
    <n v="12"/>
    <x v="49"/>
    <n v="744"/>
    <n v="110199.28"/>
    <n v="15956253.449999999"/>
    <n v="66.540000000000006"/>
    <n v="3554.8154838709679"/>
    <n v="3554.8154838709679"/>
    <n v="6.0345082456195415E-4"/>
    <n v="0"/>
    <n v="0"/>
    <x v="0"/>
  </r>
  <r>
    <x v="3"/>
    <n v="5351"/>
    <n v="2009"/>
    <n v="1"/>
    <x v="50"/>
    <n v="705.16665"/>
    <n v="115572.66"/>
    <n v="16718455.33"/>
    <n v="977.79"/>
    <n v="3933.4586228659564"/>
    <n v="3933.4586228659564"/>
    <n v="8.3894141978859797E-3"/>
    <n v="0"/>
    <n v="0"/>
    <x v="0"/>
  </r>
  <r>
    <x v="3"/>
    <n v="5351"/>
    <n v="2009"/>
    <n v="2"/>
    <x v="51"/>
    <n v="638.41668000000004"/>
    <n v="113880.98"/>
    <n v="16254377.439999999"/>
    <n v="2529.2399999999998"/>
    <n v="4281.1279930843912"/>
    <n v="4281.1279930843912"/>
    <n v="2.1726958337506791E-2"/>
    <n v="0"/>
    <n v="0"/>
    <x v="0"/>
  </r>
  <r>
    <x v="3"/>
    <n v="5351"/>
    <n v="2009"/>
    <n v="3"/>
    <x v="52"/>
    <n v="530.80332999999996"/>
    <n v="90644.44"/>
    <n v="12702463.220000001"/>
    <n v="1678.17"/>
    <n v="4098.4418089464516"/>
    <n v="4098.4418089464516"/>
    <n v="1.8177237406958056E-2"/>
    <n v="0"/>
    <n v="0"/>
    <x v="0"/>
  </r>
  <r>
    <x v="3"/>
    <n v="5351"/>
    <n v="2009"/>
    <n v="4"/>
    <x v="53"/>
    <n v="537.63333999999998"/>
    <n v="86944.06"/>
    <n v="11926656.18"/>
    <n v="246.47"/>
    <n v="3881.1905526543428"/>
    <n v="3881.1905526543428"/>
    <n v="2.8267978185245578E-3"/>
    <n v="0"/>
    <n v="0"/>
    <x v="0"/>
  </r>
  <r>
    <x v="3"/>
    <n v="5351"/>
    <n v="2009"/>
    <n v="5"/>
    <x v="54"/>
    <n v="694.66666999999995"/>
    <n v="116175.03999999999"/>
    <n v="15944548.83"/>
    <n v="3440.05"/>
    <n v="4013.7249711433542"/>
    <n v="4013.7249711433542"/>
    <n v="2.8759331285041045E-2"/>
    <n v="0"/>
    <n v="0"/>
    <x v="0"/>
  </r>
  <r>
    <x v="3"/>
    <n v="5351"/>
    <n v="2009"/>
    <n v="6"/>
    <x v="55"/>
    <n v="691.89998000000003"/>
    <n v="86654.03"/>
    <n v="12141881.109999999"/>
    <n v="5731.18"/>
    <n v="3005.7765285670334"/>
    <n v="3005.7765285670334"/>
    <n v="6.2035687314019212E-2"/>
    <n v="0"/>
    <n v="0"/>
    <x v="0"/>
  </r>
  <r>
    <x v="3"/>
    <n v="5351"/>
    <n v="2009"/>
    <n v="7"/>
    <x v="56"/>
    <n v="742.16665999999998"/>
    <n v="64871.82"/>
    <n v="9127860.4900000002"/>
    <n v="6772.73"/>
    <n v="2097.8087051229168"/>
    <n v="2097.8087051229168"/>
    <n v="9.4532382435230586E-2"/>
    <n v="0"/>
    <n v="0"/>
    <x v="0"/>
  </r>
  <r>
    <x v="3"/>
    <n v="5351"/>
    <n v="2009"/>
    <n v="8"/>
    <x v="57"/>
    <n v="656.82497999999998"/>
    <n v="112493.5"/>
    <n v="15664621.810000001"/>
    <n v="20793.78"/>
    <n v="4110.446591114729"/>
    <n v="4110.446591114729"/>
    <n v="0.15600723489893409"/>
    <n v="0"/>
    <n v="0"/>
    <x v="0"/>
  </r>
  <r>
    <x v="3"/>
    <n v="5351"/>
    <n v="2009"/>
    <n v="9"/>
    <x v="58"/>
    <n v="509.07501000000002"/>
    <n v="90349.8"/>
    <n v="12564633.24"/>
    <n v="15274.84"/>
    <n v="4259.4807393904484"/>
    <n v="4259.4807393904484"/>
    <n v="0.14461436270930722"/>
    <n v="0"/>
    <n v="0"/>
    <x v="0"/>
  </r>
  <r>
    <x v="3"/>
    <n v="5351"/>
    <n v="2009"/>
    <n v="10"/>
    <x v="59"/>
    <n v="655.42498999999998"/>
    <n v="96707.32"/>
    <n v="13556584.82"/>
    <n v="26099.06"/>
    <n v="3541.1766646248875"/>
    <n v="3541.1766646248875"/>
    <n v="0.21252202043574608"/>
    <n v="0"/>
    <n v="0"/>
    <x v="0"/>
  </r>
  <r>
    <x v="3"/>
    <n v="5351"/>
    <n v="2009"/>
    <n v="11"/>
    <x v="60"/>
    <n v="709.25000999999997"/>
    <n v="98043.5"/>
    <n v="13821883.66"/>
    <n v="39016.449999999997"/>
    <n v="3317.6509930539164"/>
    <n v="3317.6509930539164"/>
    <n v="0.28466703803700494"/>
    <n v="0"/>
    <n v="0"/>
    <x v="0"/>
  </r>
  <r>
    <x v="3"/>
    <n v="5351"/>
    <n v="2009"/>
    <n v="12"/>
    <x v="61"/>
    <n v="726.66666999999995"/>
    <n v="89514.35"/>
    <n v="12552907.779999999"/>
    <n v="56173.42"/>
    <n v="2956.4372341447838"/>
    <n v="2956.4372341447838"/>
    <n v="0.38557402587739514"/>
    <n v="0"/>
    <n v="0"/>
    <x v="0"/>
  </r>
  <r>
    <x v="3"/>
    <n v="5351"/>
    <n v="2010"/>
    <n v="1"/>
    <x v="62"/>
    <n v="742.16665999999998"/>
    <n v="82221.25"/>
    <n v="11561301.92"/>
    <n v="70004.160000000003"/>
    <n v="2658.8502372229982"/>
    <n v="2658.8502372229982"/>
    <n v="0.4598717126135512"/>
    <n v="0"/>
    <n v="0"/>
    <x v="0"/>
  </r>
  <r>
    <x v="3"/>
    <n v="5351"/>
    <n v="2010"/>
    <n v="2"/>
    <x v="63"/>
    <n v="610.17499999999995"/>
    <n v="62092.98"/>
    <n v="8751248.2899999991"/>
    <n v="62000.25"/>
    <n v="2442.3018314418"/>
    <n v="2442.3018314418"/>
    <n v="0.49962636962548235"/>
    <n v="0"/>
    <n v="0"/>
    <x v="0"/>
  </r>
  <r>
    <x v="3"/>
    <n v="5351"/>
    <n v="2010"/>
    <n v="3"/>
    <x v="64"/>
    <n v="654.10832000000005"/>
    <n v="66989.25"/>
    <n v="9421805.3599999994"/>
    <n v="64560.85"/>
    <n v="2457.9140042126355"/>
    <n v="2457.9140042126355"/>
    <n v="0.49077005642717109"/>
    <n v="0"/>
    <n v="0"/>
    <x v="0"/>
  </r>
  <r>
    <x v="3"/>
    <n v="5351"/>
    <n v="2010"/>
    <n v="4"/>
    <x v="65"/>
    <n v="679.80832999999996"/>
    <n v="73035.81"/>
    <n v="10288470.42"/>
    <n v="69865.31"/>
    <n v="2578.4612553953261"/>
    <n v="2578.4612553953261"/>
    <n v="0.48890666497225493"/>
    <n v="0"/>
    <n v="0"/>
    <x v="0"/>
  </r>
  <r>
    <x v="3"/>
    <n v="5351"/>
    <n v="2010"/>
    <n v="5"/>
    <x v="66"/>
    <n v="740.16666999999995"/>
    <n v="87809.279999999999"/>
    <n v="12490295.91"/>
    <n v="85315.44"/>
    <n v="2847.227260314221"/>
    <n v="2847.227260314221"/>
    <n v="0.49279756235851241"/>
    <n v="0"/>
    <n v="0"/>
    <x v="0"/>
  </r>
  <r>
    <x v="3"/>
    <n v="5351"/>
    <n v="2010"/>
    <n v="6"/>
    <x v="67"/>
    <n v="717.75"/>
    <n v="75309.820000000007"/>
    <n v="10756576.800000001"/>
    <n v="96580.92"/>
    <n v="2518.1966980146294"/>
    <n v="2518.1966980146294"/>
    <n v="0.5618738973373435"/>
    <n v="0"/>
    <n v="0"/>
    <x v="0"/>
  </r>
  <r>
    <x v="3"/>
    <n v="5351"/>
    <n v="2010"/>
    <n v="7"/>
    <x v="68"/>
    <n v="742.41666999999995"/>
    <n v="69600.25"/>
    <n v="10073534.35"/>
    <n v="101216.35"/>
    <n v="2249.9575608936693"/>
    <n v="2249.9575608936693"/>
    <n v="0.5925439916261066"/>
    <n v="0"/>
    <n v="0"/>
    <x v="0"/>
  </r>
  <r>
    <x v="3"/>
    <n v="5351"/>
    <n v="2010"/>
    <n v="8"/>
    <x v="69"/>
    <n v="425.1"/>
    <n v="38413.730000000003"/>
    <n v="5543252.2800000003"/>
    <n v="56452.9"/>
    <n v="2168.7356386732531"/>
    <n v="2168.7356386732531"/>
    <n v="0.59507647736617186"/>
    <n v="0"/>
    <n v="0"/>
    <x v="0"/>
  </r>
  <r>
    <x v="3"/>
    <n v="5351"/>
    <n v="2010"/>
    <n v="9"/>
    <x v="70"/>
    <n v="566.14999"/>
    <n v="55405.21"/>
    <n v="8260552.1900000004"/>
    <n v="66506.820000000007"/>
    <n v="2348.7151169957629"/>
    <n v="2348.7151169957629"/>
    <n v="0.54553123264373504"/>
    <n v="0"/>
    <n v="0"/>
    <x v="0"/>
  </r>
  <r>
    <x v="3"/>
    <n v="5351"/>
    <n v="2010"/>
    <n v="10"/>
    <x v="71"/>
    <n v="743.16665999999998"/>
    <n v="78755.31"/>
    <n v="11853846.58"/>
    <n v="100949.14"/>
    <n v="2543.3426198102052"/>
    <n v="2543.3426198102052"/>
    <n v="0.56175091935675492"/>
    <n v="0"/>
    <n v="0"/>
    <x v="0"/>
  </r>
  <r>
    <x v="3"/>
    <n v="5351"/>
    <n v="2010"/>
    <n v="11"/>
    <x v="72"/>
    <n v="683.41666999999995"/>
    <n v="62555.48"/>
    <n v="9485348.6799999997"/>
    <n v="96969.98"/>
    <n v="2196.802603600524"/>
    <n v="2196.802603600524"/>
    <n v="0.60786522728096193"/>
    <n v="0"/>
    <n v="0"/>
    <x v="0"/>
  </r>
  <r>
    <x v="3"/>
    <n v="5351"/>
    <n v="2010"/>
    <n v="12"/>
    <x v="73"/>
    <n v="741.5"/>
    <n v="63886.23"/>
    <n v="9763159.5299999993"/>
    <n v="111640.46"/>
    <n v="2067.7943627781524"/>
    <n v="2067.7943627781524"/>
    <n v="0.63603124972048408"/>
    <n v="0"/>
    <n v="0"/>
    <x v="0"/>
  </r>
  <r>
    <x v="3"/>
    <n v="5351"/>
    <n v="2011"/>
    <n v="1"/>
    <x v="74"/>
    <n v="744"/>
    <n v="61328.45"/>
    <n v="9353204.4100000001"/>
    <n v="111168.02"/>
    <n v="1978.3370967741935"/>
    <n v="1978.3370967741935"/>
    <n v="0.64446547804717402"/>
    <n v="0"/>
    <n v="0"/>
    <x v="0"/>
  </r>
  <r>
    <x v="3"/>
    <n v="5351"/>
    <n v="2011"/>
    <n v="2"/>
    <x v="75"/>
    <n v="561.5"/>
    <n v="44066.31"/>
    <n v="6830109.5899999999"/>
    <n v="79492.13"/>
    <n v="1883.5110240427427"/>
    <n v="1883.5110240427427"/>
    <n v="0.64335653638877277"/>
    <n v="0"/>
    <n v="0"/>
    <x v="0"/>
  </r>
  <r>
    <x v="3"/>
    <n v="5351"/>
    <n v="2011"/>
    <n v="3"/>
    <x v="76"/>
    <n v="732.5"/>
    <n v="56709.96"/>
    <n v="8733754.9700000007"/>
    <n v="117498.23"/>
    <n v="1858.0737747440273"/>
    <n v="1858.0737747440273"/>
    <n v="0.67447018420890537"/>
    <n v="0"/>
    <n v="0"/>
    <x v="0"/>
  </r>
  <r>
    <x v="3"/>
    <n v="5351"/>
    <n v="2011"/>
    <n v="4"/>
    <x v="77"/>
    <n v="717.66666999999995"/>
    <n v="51814.239999999998"/>
    <n v="8052242.8799999999"/>
    <n v="122053.6"/>
    <n v="1732.7567406746089"/>
    <n v="1732.7567406746089"/>
    <n v="0.70199066141271449"/>
    <n v="0"/>
    <n v="0"/>
    <x v="0"/>
  </r>
  <r>
    <x v="3"/>
    <n v="5351"/>
    <n v="2011"/>
    <n v="5"/>
    <x v="78"/>
    <n v="741.25"/>
    <n v="51121.62"/>
    <n v="7972927.6799999997"/>
    <n v="129331.86"/>
    <n v="1655.2025362563238"/>
    <n v="1655.2025362563238"/>
    <n v="0.71670471525403667"/>
    <n v="0"/>
    <n v="0"/>
    <x v="0"/>
  </r>
  <r>
    <x v="3"/>
    <n v="5351"/>
    <n v="2011"/>
    <n v="6"/>
    <x v="79"/>
    <n v="465.17500000000001"/>
    <n v="31194.51"/>
    <n v="4835912.1500000004"/>
    <n v="81258.77"/>
    <n v="1609.4335250174665"/>
    <n v="1609.4335250174665"/>
    <n v="0.72260026563920599"/>
    <n v="0"/>
    <n v="0"/>
    <x v="0"/>
  </r>
  <r>
    <x v="3"/>
    <n v="5351"/>
    <n v="2011"/>
    <n v="7"/>
    <x v="80"/>
    <n v="254.50833"/>
    <n v="20211.310000000001"/>
    <n v="3064565.93"/>
    <n v="42012.13"/>
    <n v="1905.9157710083596"/>
    <n v="1905.9157710083596"/>
    <n v="0.67518173215752775"/>
    <n v="0"/>
    <n v="0"/>
    <x v="0"/>
  </r>
  <r>
    <x v="3"/>
    <n v="5351"/>
    <n v="2011"/>
    <n v="8"/>
    <x v="81"/>
    <n v="652.32500000000005"/>
    <n v="49730.28"/>
    <n v="7681607.8899999997"/>
    <n v="108934.77"/>
    <n v="1829.650434982562"/>
    <n v="1829.650434982562"/>
    <n v="0.68657067199109079"/>
    <n v="0"/>
    <n v="0"/>
    <x v="0"/>
  </r>
  <r>
    <x v="3"/>
    <n v="5351"/>
    <n v="2011"/>
    <n v="9"/>
    <x v="82"/>
    <n v="708"/>
    <n v="51053.13"/>
    <n v="8021384.1799999997"/>
    <n v="133957.60999999999"/>
    <n v="1730.6145762711863"/>
    <n v="1730.6145762711863"/>
    <n v="0.72405315496819267"/>
    <n v="0"/>
    <n v="0"/>
    <x v="0"/>
  </r>
  <r>
    <x v="3"/>
    <n v="5351"/>
    <n v="2011"/>
    <n v="10"/>
    <x v="83"/>
    <n v="327.07499000000001"/>
    <n v="21807.23"/>
    <n v="3406338.4"/>
    <n v="56487.87"/>
    <n v="1600.1636811178989"/>
    <n v="1600.1636811178989"/>
    <n v="0.7214738853389292"/>
    <n v="0"/>
    <n v="0"/>
    <x v="0"/>
  </r>
  <r>
    <x v="3"/>
    <n v="5351"/>
    <n v="2011"/>
    <n v="11"/>
    <x v="84"/>
    <n v="464.30833000000001"/>
    <n v="35043.89"/>
    <n v="5381237.5800000001"/>
    <n v="73586.39"/>
    <n v="1811.4113093771116"/>
    <n v="1811.4113093771116"/>
    <n v="0.67740219393708645"/>
    <n v="0"/>
    <n v="0"/>
    <x v="0"/>
  </r>
  <r>
    <x v="3"/>
    <n v="5351"/>
    <n v="2011"/>
    <n v="12"/>
    <x v="85"/>
    <n v="436.65001000000001"/>
    <n v="34166.400000000001"/>
    <n v="5142969.72"/>
    <n v="74442.899999999994"/>
    <n v="1877.9195722450575"/>
    <n v="1877.9195722450575"/>
    <n v="0.6854192044327696"/>
    <n v="0"/>
    <n v="0"/>
    <x v="0"/>
  </r>
  <r>
    <x v="3"/>
    <n v="5351"/>
    <n v="2012"/>
    <n v="1"/>
    <x v="86"/>
    <n v="363.81666999999999"/>
    <n v="27309.23"/>
    <n v="4156158.72"/>
    <n v="57518.38"/>
    <n v="1801.5159118464803"/>
    <n v="1801.5159118464803"/>
    <n v="0.6780620130639069"/>
    <n v="0"/>
    <n v="0"/>
    <x v="0"/>
  </r>
  <r>
    <x v="3"/>
    <n v="5351"/>
    <n v="2012"/>
    <n v="2"/>
    <x v="87"/>
    <n v="692.66665999999998"/>
    <n v="36797.660000000003"/>
    <n v="5598558.9299999997"/>
    <n v="55275.839999999997"/>
    <n v="1274.9911191048234"/>
    <n v="1274.9911191048234"/>
    <n v="0.60034472459502464"/>
    <n v="0"/>
    <n v="0"/>
    <x v="0"/>
  </r>
  <r>
    <x v="3"/>
    <n v="5351"/>
    <n v="2012"/>
    <n v="3"/>
    <x v="88"/>
    <n v="740.83334000000002"/>
    <n v="34745.589999999997"/>
    <n v="5378188.6699999999"/>
    <n v="60225.91"/>
    <n v="1125.616403818975"/>
    <n v="1125.616403818975"/>
    <n v="0.63414719152587884"/>
    <n v="0"/>
    <n v="0"/>
    <x v="0"/>
  </r>
  <r>
    <x v="3"/>
    <n v="5351"/>
    <n v="2012"/>
    <n v="4"/>
    <x v="89"/>
    <n v="720"/>
    <n v="36509.79"/>
    <n v="5673229.8200000003"/>
    <n v="72811.240000000005"/>
    <n v="1216.9929999999999"/>
    <n v="1216.9929999999999"/>
    <n v="0.66603141225434859"/>
    <n v="0"/>
    <n v="0"/>
    <x v="0"/>
  </r>
  <r>
    <x v="3"/>
    <n v="5351"/>
    <n v="2012"/>
    <n v="5"/>
    <x v="90"/>
    <n v="741.08334000000002"/>
    <n v="35051.96"/>
    <n v="5495387.9299999997"/>
    <n v="82877.31"/>
    <n v="1135.1584829851929"/>
    <n v="1135.1584829851929"/>
    <n v="0.70277133064590336"/>
    <n v="0"/>
    <n v="0"/>
    <x v="0"/>
  </r>
  <r>
    <x v="3"/>
    <n v="5351"/>
    <n v="2012"/>
    <n v="6"/>
    <x v="91"/>
    <n v="711.16666999999995"/>
    <n v="31665.55"/>
    <n v="4980411.28"/>
    <n v="80184.2"/>
    <n v="1068.6288208641724"/>
    <n v="1068.6288208641724"/>
    <n v="0.71689208067072119"/>
    <n v="0"/>
    <n v="0"/>
    <x v="0"/>
  </r>
  <r>
    <x v="3"/>
    <n v="5351"/>
    <n v="2012"/>
    <n v="7"/>
    <x v="92"/>
    <n v="744"/>
    <n v="32960.699999999997"/>
    <n v="5181262.4800000004"/>
    <n v="83969.56"/>
    <n v="1063.2483870967742"/>
    <n v="1063.2483870967742"/>
    <n v="0.7181165936003221"/>
    <n v="0"/>
    <n v="0"/>
    <x v="0"/>
  </r>
  <r>
    <x v="3"/>
    <n v="5351"/>
    <n v="2012"/>
    <n v="8"/>
    <x v="93"/>
    <n v="288.625"/>
    <n v="12689.84"/>
    <n v="1974233.52"/>
    <n v="33257.32"/>
    <n v="1055.1967431788653"/>
    <n v="1055.1967431788653"/>
    <n v="0.72381666244442522"/>
    <n v="0"/>
    <n v="0"/>
    <x v="0"/>
  </r>
  <r>
    <x v="3"/>
    <n v="5351"/>
    <n v="2012"/>
    <n v="9"/>
    <x v="94"/>
    <n v="30.783329999999999"/>
    <n v="1655.08"/>
    <n v="245981.03"/>
    <n v="2918.19"/>
    <n v="1290.3711196936783"/>
    <n v="1290.3711196936783"/>
    <n v="0.63809702904048959"/>
    <n v="0"/>
    <n v="0"/>
    <x v="0"/>
  </r>
  <r>
    <x v="3"/>
    <n v="5351"/>
    <n v="2012"/>
    <n v="10"/>
    <x v="95"/>
    <n v="610.17499999999995"/>
    <n v="33944.019999999997"/>
    <n v="5155057.8499999996"/>
    <n v="60061.38"/>
    <n v="1335.1194001720817"/>
    <n v="1335.1194001720817"/>
    <n v="0.63891414748514452"/>
    <n v="0"/>
    <n v="0"/>
    <x v="0"/>
  </r>
  <r>
    <x v="3"/>
    <n v="5351"/>
    <n v="2012"/>
    <n v="11"/>
    <x v="96"/>
    <n v="720"/>
    <n v="34931.660000000003"/>
    <n v="5485685.3099999996"/>
    <n v="87226.64"/>
    <n v="1164.3886666666667"/>
    <n v="1164.3886666666667"/>
    <n v="0.71404595512543967"/>
    <n v="0"/>
    <n v="0"/>
    <x v="0"/>
  </r>
  <r>
    <x v="3"/>
    <n v="5351"/>
    <n v="2012"/>
    <n v="12"/>
    <x v="97"/>
    <n v="710.99999000000003"/>
    <n v="30122.89"/>
    <n v="4854889.04"/>
    <n v="93523.46"/>
    <n v="1016.8064278031845"/>
    <n v="1016.8064278031845"/>
    <n v="0.75637865573872587"/>
    <n v="0"/>
    <n v="0"/>
    <x v="0"/>
  </r>
  <r>
    <x v="3"/>
    <n v="5351"/>
    <n v="2013"/>
    <n v="1"/>
    <x v="98"/>
    <n v="744"/>
    <n v="30184.799999999999"/>
    <n v="4834717.2"/>
    <n v="99784.43"/>
    <n v="973.70322580645154"/>
    <n v="973.70322580645154"/>
    <n v="0.76775425998907587"/>
    <n v="0"/>
    <n v="0"/>
    <x v="0"/>
  </r>
  <r>
    <x v="3"/>
    <n v="5351"/>
    <n v="2013"/>
    <n v="2"/>
    <x v="99"/>
    <n v="667.91666999999995"/>
    <n v="26595.53"/>
    <n v="4196331.8499999996"/>
    <n v="92120.59"/>
    <n v="955.64723665303939"/>
    <n v="955.64723665303939"/>
    <n v="0.77597372623027105"/>
    <n v="0"/>
    <n v="0"/>
    <x v="0"/>
  </r>
  <r>
    <x v="3"/>
    <n v="5351"/>
    <n v="2013"/>
    <n v="3"/>
    <x v="100"/>
    <n v="508.30167"/>
    <n v="18816.52"/>
    <n v="2783792.79"/>
    <n v="70618.720000000001"/>
    <n v="888.44185776529127"/>
    <n v="888.44185776529127"/>
    <n v="0.78960731809966622"/>
    <n v="0"/>
    <n v="0"/>
    <x v="0"/>
  </r>
  <r>
    <x v="3"/>
    <n v="5351"/>
    <n v="2013"/>
    <n v="4"/>
    <x v="101"/>
    <n v="557.33333000000005"/>
    <n v="22875.42"/>
    <n v="3676256.95"/>
    <n v="79450.259999999995"/>
    <n v="985.06593890589659"/>
    <n v="985.06593890589659"/>
    <n v="0.77644497451666095"/>
    <n v="0"/>
    <n v="0"/>
    <x v="0"/>
  </r>
  <r>
    <x v="3"/>
    <n v="5351"/>
    <n v="2013"/>
    <n v="5"/>
    <x v="102"/>
    <n v="733.50000999999997"/>
    <n v="27661.53"/>
    <n v="4525932.12"/>
    <n v="109553.2"/>
    <n v="905.08072385711353"/>
    <n v="905.08072385711353"/>
    <n v="0.79840699318506114"/>
    <n v="0"/>
    <n v="0"/>
    <x v="0"/>
  </r>
  <r>
    <x v="3"/>
    <n v="5351"/>
    <n v="2013"/>
    <n v="6"/>
    <x v="103"/>
    <n v="630.08333000000005"/>
    <n v="22298.26"/>
    <n v="3652742.89"/>
    <n v="93413.24"/>
    <n v="849.34518105724192"/>
    <n v="849.34518105724192"/>
    <n v="0.80729434844419101"/>
    <n v="0"/>
    <n v="0"/>
    <x v="0"/>
  </r>
  <r>
    <x v="3"/>
    <n v="5351"/>
    <n v="2013"/>
    <n v="7"/>
    <x v="25"/>
    <n v="660.84167000000002"/>
    <n v="22602.78"/>
    <n v="3553396.55"/>
    <n v="94589.45"/>
    <n v="820.87244891805915"/>
    <n v="820.87244891805915"/>
    <n v="0.80713072871810698"/>
    <n v="0"/>
    <n v="0"/>
    <x v="0"/>
  </r>
  <r>
    <x v="3"/>
    <n v="5351"/>
    <n v="2013"/>
    <n v="8"/>
    <x v="26"/>
    <n v="687.82500000000005"/>
    <n v="21666.9"/>
    <n v="3259563.55"/>
    <n v="91453.17"/>
    <n v="756.01439319594374"/>
    <n v="756.01439319594374"/>
    <n v="0.80846104497636884"/>
    <n v="0"/>
    <n v="0"/>
    <x v="0"/>
  </r>
  <r>
    <x v="3"/>
    <n v="5351"/>
    <n v="2013"/>
    <n v="9"/>
    <x v="27"/>
    <n v="626.82500000000005"/>
    <n v="17870.72"/>
    <n v="2707856.27"/>
    <n v="92677.05"/>
    <n v="684.23767399194344"/>
    <n v="684.23767399194344"/>
    <n v="0.83834391231953387"/>
    <n v="0"/>
    <n v="0"/>
    <x v="0"/>
  </r>
  <r>
    <x v="3"/>
    <n v="5351"/>
    <n v="2013"/>
    <n v="10"/>
    <x v="28"/>
    <n v="658.66665999999998"/>
    <n v="18441.11"/>
    <n v="2757135.18"/>
    <n v="96753.57"/>
    <n v="671.9432861532722"/>
    <n v="671.9432861532722"/>
    <n v="0.8399135272566407"/>
    <n v="0"/>
    <n v="0"/>
    <x v="0"/>
  </r>
  <r>
    <x v="3"/>
    <n v="5351"/>
    <n v="2013"/>
    <n v="11"/>
    <x v="29"/>
    <n v="681.25"/>
    <n v="19248.66"/>
    <n v="2853579.7"/>
    <n v="103737.87"/>
    <n v="678.11793027522936"/>
    <n v="678.11793027522936"/>
    <n v="0.84348968948062841"/>
    <n v="0"/>
    <n v="0"/>
    <x v="0"/>
  </r>
  <r>
    <x v="3"/>
    <n v="5351"/>
    <n v="2013"/>
    <n v="12"/>
    <x v="30"/>
    <n v="630.08333000000005"/>
    <n v="15495.97"/>
    <n v="2330523.9900000002"/>
    <n v="97307.32"/>
    <n v="590.24459510776126"/>
    <n v="590.24459510776126"/>
    <n v="0.86262838610469605"/>
    <n v="0"/>
    <n v="0"/>
    <x v="0"/>
  </r>
  <r>
    <x v="3"/>
    <n v="5351"/>
    <n v="2014"/>
    <n v="1"/>
    <x v="31"/>
    <n v="673.25"/>
    <n v="16686.580000000002"/>
    <n v="2426753.21"/>
    <n v="106725.74"/>
    <n v="594.84280727812859"/>
    <n v="594.84280727812859"/>
    <n v="0.86478999827569891"/>
    <n v="0"/>
    <n v="0"/>
    <x v="0"/>
  </r>
  <r>
    <x v="3"/>
    <n v="5351"/>
    <n v="2014"/>
    <n v="2"/>
    <x v="32"/>
    <n v="598.60834"/>
    <n v="14766.13"/>
    <n v="2161271.5699999998"/>
    <n v="96430.28"/>
    <n v="592.01834708818114"/>
    <n v="592.01834708818114"/>
    <n v="0.86720677403164359"/>
    <n v="0"/>
    <n v="0"/>
    <x v="0"/>
  </r>
  <r>
    <x v="3"/>
    <n v="5351"/>
    <n v="2014"/>
    <n v="3"/>
    <x v="33"/>
    <n v="677.16665999999998"/>
    <n v="14954.84"/>
    <n v="2196383.02"/>
    <n v="101501.18"/>
    <n v="530.02633059341701"/>
    <n v="530.02633059341701"/>
    <n v="0.8715837961833145"/>
    <n v="0"/>
    <n v="0"/>
    <x v="0"/>
  </r>
  <r>
    <x v="3"/>
    <n v="5351"/>
    <n v="2014"/>
    <n v="4"/>
    <x v="0"/>
    <n v="701.45833000000005"/>
    <n v="16572.240000000002"/>
    <n v="2398888.09"/>
    <n v="104862.29"/>
    <n v="567.00981796024871"/>
    <n v="567.00981796024871"/>
    <n v="0.86352942610310257"/>
    <n v="0"/>
    <n v="0"/>
    <x v="0"/>
  </r>
  <r>
    <x v="3"/>
    <n v="5351"/>
    <n v="2014"/>
    <n v="5"/>
    <x v="1"/>
    <n v="701.5"/>
    <n v="13637.02"/>
    <n v="1943519.37"/>
    <n v="98851.21"/>
    <n v="466.5552102637206"/>
    <n v="466.5552102637206"/>
    <n v="0.87876936102559344"/>
    <n v="0"/>
    <n v="0"/>
    <x v="0"/>
  </r>
  <r>
    <x v="3"/>
    <n v="5351"/>
    <n v="2014"/>
    <n v="6"/>
    <x v="2"/>
    <n v="710"/>
    <n v="13257.99"/>
    <n v="1951326.48"/>
    <n v="103420.97"/>
    <n v="448.15740845070422"/>
    <n v="448.15740845070422"/>
    <n v="0.88637205885277004"/>
    <n v="0"/>
    <n v="0"/>
    <x v="0"/>
  </r>
  <r>
    <x v="3"/>
    <n v="5351"/>
    <n v="2014"/>
    <n v="7"/>
    <x v="3"/>
    <n v="743.08334000000002"/>
    <n v="13495.98"/>
    <n v="2012912.6399999999"/>
    <n v="99765.119999999995"/>
    <n v="435.89124202407766"/>
    <n v="435.89124202407766"/>
    <n v="0.88084187774973055"/>
    <n v="0"/>
    <n v="0"/>
    <x v="0"/>
  </r>
  <r>
    <x v="3"/>
    <n v="5351"/>
    <n v="2014"/>
    <n v="8"/>
    <x v="4"/>
    <n v="599.78332999999998"/>
    <n v="8443.73"/>
    <n v="1333766.6399999999"/>
    <n v="82815.839999999997"/>
    <n v="337.87121092545203"/>
    <n v="337.87121092545203"/>
    <n v="0.90747567624962511"/>
    <n v="0"/>
    <n v="0"/>
    <x v="0"/>
  </r>
  <r>
    <x v="3"/>
    <n v="5351"/>
    <n v="2014"/>
    <n v="9"/>
    <x v="5"/>
    <n v="689.66665999999998"/>
    <n v="9622.2099999999991"/>
    <n v="1516704.37"/>
    <n v="97941.37"/>
    <n v="334.84733044801675"/>
    <n v="334.84733044801675"/>
    <n v="0.9105439778036396"/>
    <n v="0"/>
    <n v="0"/>
    <x v="0"/>
  </r>
  <r>
    <x v="3"/>
    <n v="5351"/>
    <n v="2014"/>
    <n v="10"/>
    <x v="6"/>
    <n v="745"/>
    <n v="10076.219999999999"/>
    <n v="1558794.24"/>
    <n v="104963.4"/>
    <n v="324.60306040268455"/>
    <n v="324.60306040268455"/>
    <n v="0.91241087201087767"/>
    <n v="0"/>
    <n v="0"/>
    <x v="0"/>
  </r>
  <r>
    <x v="3"/>
    <n v="5351"/>
    <n v="2014"/>
    <n v="11"/>
    <x v="7"/>
    <n v="708.5"/>
    <n v="10386.41"/>
    <n v="1643092.74"/>
    <n v="103384.87"/>
    <n v="351.83322512350037"/>
    <n v="351.83322512350037"/>
    <n v="0.90870797972915485"/>
    <n v="0"/>
    <n v="0"/>
    <x v="0"/>
  </r>
  <r>
    <x v="3"/>
    <n v="5351"/>
    <n v="2014"/>
    <n v="12"/>
    <x v="8"/>
    <n v="740.83334000000002"/>
    <n v="9665.11"/>
    <n v="1601950.3"/>
    <n v="100254.94"/>
    <n v="313.11042237920884"/>
    <n v="313.11042237920884"/>
    <n v="0.91207145557157221"/>
    <n v="0"/>
    <n v="0"/>
    <x v="0"/>
  </r>
  <r>
    <x v="3"/>
    <n v="5351"/>
    <n v="2015"/>
    <n v="1"/>
    <x v="9"/>
    <n v="718.13333"/>
    <n v="9120.98"/>
    <n v="1357132.6"/>
    <n v="95024.85"/>
    <n v="304.82294979958664"/>
    <n v="304.82294979958664"/>
    <n v="0.91242107341215684"/>
    <n v="0"/>
    <n v="0"/>
    <x v="0"/>
  </r>
  <r>
    <x v="3"/>
    <n v="5351"/>
    <n v="2015"/>
    <n v="2"/>
    <x v="10"/>
    <n v="655.05832999999996"/>
    <n v="7178.8"/>
    <n v="1092571.04"/>
    <n v="91844.46"/>
    <n v="263.01657747028423"/>
    <n v="263.01657747028423"/>
    <n v="0.92750390160857155"/>
    <n v="0"/>
    <n v="0"/>
    <x v="0"/>
  </r>
  <r>
    <x v="3"/>
    <n v="5351"/>
    <n v="2015"/>
    <n v="3"/>
    <x v="11"/>
    <n v="744"/>
    <n v="8069.04"/>
    <n v="1195524.25"/>
    <n v="107454.33"/>
    <n v="260.29161290322583"/>
    <n v="260.29161290322583"/>
    <n v="0.93015231463555825"/>
    <n v="0"/>
    <n v="0"/>
    <x v="0"/>
  </r>
  <r>
    <x v="3"/>
    <n v="5351"/>
    <n v="2015"/>
    <n v="4"/>
    <x v="12"/>
    <n v="720"/>
    <n v="7687.2"/>
    <n v="1121236.5"/>
    <n v="101303.06"/>
    <n v="256.24"/>
    <n v="256.24"/>
    <n v="0.92946892685639981"/>
    <n v="0"/>
    <n v="0"/>
    <x v="0"/>
  </r>
  <r>
    <x v="3"/>
    <n v="5351"/>
    <n v="2015"/>
    <n v="5"/>
    <x v="13"/>
    <n v="744"/>
    <n v="7147.79"/>
    <n v="1042506.82"/>
    <n v="102927.47"/>
    <n v="230.57387096774193"/>
    <n v="230.57387096774193"/>
    <n v="0.93506451858483008"/>
    <n v="0"/>
    <n v="0"/>
    <x v="0"/>
  </r>
  <r>
    <x v="3"/>
    <n v="5351"/>
    <n v="2015"/>
    <n v="6"/>
    <x v="14"/>
    <n v="718.81667000000004"/>
    <n v="6069.93"/>
    <n v="889055.86"/>
    <n v="100367.07"/>
    <n v="202.66408123228416"/>
    <n v="202.66408123228416"/>
    <n v="0.9429716170128809"/>
    <n v="0"/>
    <n v="0"/>
    <x v="0"/>
  </r>
  <r>
    <x v="3"/>
    <n v="5351"/>
    <n v="2015"/>
    <n v="7"/>
    <x v="15"/>
    <n v="741.04193999999995"/>
    <n v="6720.74"/>
    <n v="999142.24"/>
    <n v="96224.54"/>
    <n v="217.66346989753376"/>
    <n v="217.66346989753376"/>
    <n v="0.93471541385870238"/>
    <n v="0"/>
    <n v="0"/>
    <x v="0"/>
  </r>
  <r>
    <x v="3"/>
    <n v="5351"/>
    <n v="2015"/>
    <n v="8"/>
    <x v="16"/>
    <n v="629.39180999999996"/>
    <n v="4876.3100000000004"/>
    <n v="737504.53"/>
    <n v="79596.639999999999"/>
    <n v="185.94369697946976"/>
    <n v="185.94369697946976"/>
    <n v="0.94227371010483241"/>
    <n v="0"/>
    <n v="0"/>
    <x v="0"/>
  </r>
  <r>
    <x v="3"/>
    <n v="5351"/>
    <n v="2015"/>
    <n v="9"/>
    <x v="17"/>
    <n v="719.07485999999994"/>
    <n v="5300.41"/>
    <n v="799234.86"/>
    <n v="84511.31"/>
    <n v="176.90764491474505"/>
    <n v="176.90764491474505"/>
    <n v="0.94098309218440535"/>
    <n v="0"/>
    <n v="0"/>
    <x v="0"/>
  </r>
  <r>
    <x v="3"/>
    <n v="5351"/>
    <n v="2015"/>
    <n v="10"/>
    <x v="18"/>
    <n v="741.91666999999995"/>
    <n v="5634.86"/>
    <n v="863230.28"/>
    <n v="97864.97"/>
    <n v="182.2800935312587"/>
    <n v="182.2800935312587"/>
    <n v="0.94555681878897768"/>
    <n v="0"/>
    <n v="0"/>
    <x v="0"/>
  </r>
  <r>
    <x v="3"/>
    <n v="5351"/>
    <n v="2015"/>
    <n v="11"/>
    <x v="19"/>
    <n v="719.50000999999997"/>
    <n v="5431.56"/>
    <n v="835108.42"/>
    <n v="96061.08"/>
    <n v="181.17781541101022"/>
    <n v="181.17781541101022"/>
    <n v="0.94648321296992577"/>
    <n v="0"/>
    <n v="0"/>
    <x v="0"/>
  </r>
  <r>
    <x v="3"/>
    <n v="5351"/>
    <n v="2015"/>
    <n v="12"/>
    <x v="20"/>
    <n v="740.5"/>
    <n v="5158.09"/>
    <n v="790131.36"/>
    <n v="94593.75"/>
    <n v="167.17644834571234"/>
    <n v="167.17644834571234"/>
    <n v="0.94829077839566667"/>
    <n v="0"/>
    <n v="0"/>
    <x v="0"/>
  </r>
  <r>
    <x v="3"/>
    <n v="5351"/>
    <n v="2016"/>
    <n v="1"/>
    <x v="21"/>
    <n v="736.33331999999996"/>
    <n v="4606.3"/>
    <n v="721123.87"/>
    <n v="97147.72"/>
    <n v="150.13744047329001"/>
    <n v="150.13744047329001"/>
    <n v="0.95473102684296896"/>
    <n v="0"/>
    <n v="0"/>
    <x v="0"/>
  </r>
  <r>
    <x v="3"/>
    <n v="5351"/>
    <n v="2016"/>
    <n v="2"/>
    <x v="22"/>
    <n v="695.58333000000005"/>
    <n v="3941.77"/>
    <n v="621658.73"/>
    <n v="86357.85"/>
    <n v="136.00452443275199"/>
    <n v="136.00452443275199"/>
    <n v="0.95634787831886769"/>
    <n v="0"/>
    <n v="0"/>
    <x v="0"/>
  </r>
  <r>
    <x v="3"/>
    <n v="5351"/>
    <n v="2016"/>
    <n v="3"/>
    <x v="23"/>
    <n v="737.66665999999998"/>
    <n v="3753.8"/>
    <n v="604911.16"/>
    <n v="98119.24"/>
    <n v="122.12996043497481"/>
    <n v="122.12996043497481"/>
    <n v="0.96315217451054758"/>
    <n v="0"/>
    <n v="0"/>
    <x v="0"/>
  </r>
  <r>
    <x v="3"/>
    <n v="5351"/>
    <n v="2016"/>
    <n v="4"/>
    <x v="24"/>
    <n v="715.83333000000005"/>
    <n v="3112.41"/>
    <n v="514414.42"/>
    <n v="91934.95"/>
    <n v="104.3508829073382"/>
    <n v="104.3508829073382"/>
    <n v="0.96725411415950946"/>
    <n v="0"/>
    <n v="0"/>
    <x v="0"/>
  </r>
  <r>
    <x v="3"/>
    <n v="5351"/>
    <n v="2016"/>
    <n v="5"/>
    <x v="34"/>
    <n v="738"/>
    <n v="3212.96"/>
    <n v="506857.03"/>
    <n v="89415.55"/>
    <n v="104.48650406504065"/>
    <n v="104.48650406504065"/>
    <n v="0.96531348717581655"/>
    <n v="0"/>
    <n v="0"/>
    <x v="0"/>
  </r>
  <r>
    <x v="3"/>
    <n v="5351"/>
    <n v="2016"/>
    <n v="6"/>
    <x v="35"/>
    <n v="716.08333000000005"/>
    <n v="3075.03"/>
    <n v="495103.7"/>
    <n v="88380.72"/>
    <n v="103.0616366952712"/>
    <n v="103.0616366952712"/>
    <n v="0.96637685438039711"/>
    <n v="0"/>
    <n v="0"/>
    <x v="0"/>
  </r>
  <r>
    <x v="3"/>
    <n v="5351"/>
    <n v="2016"/>
    <n v="7"/>
    <x v="36"/>
    <n v="301.22500000000002"/>
    <n v="1326.86"/>
    <n v="215288.52"/>
    <n v="37892.519999999997"/>
    <n v="105.71712175284254"/>
    <n v="105.71712175284254"/>
    <n v="0.96616825661190975"/>
    <n v="0"/>
    <n v="0"/>
    <x v="0"/>
  </r>
  <r>
    <x v="3"/>
    <n v="5351"/>
    <n v="2016"/>
    <n v="8"/>
    <x v="37"/>
    <n v="0"/>
    <n v="0"/>
    <n v="0"/>
    <n v="0"/>
    <s v=""/>
    <s v=""/>
    <s v=""/>
    <n v="0"/>
    <n v="0"/>
    <x v="1"/>
  </r>
  <r>
    <x v="3"/>
    <n v="5351"/>
    <n v="2016"/>
    <n v="9"/>
    <x v="38"/>
    <n v="0"/>
    <n v="0"/>
    <n v="0"/>
    <n v="0"/>
    <s v=""/>
    <s v=""/>
    <s v=""/>
    <n v="0"/>
    <n v="0"/>
    <x v="1"/>
  </r>
  <r>
    <x v="4"/>
    <n v="7289"/>
    <n v="2014"/>
    <n v="1"/>
    <x v="31"/>
    <n v="339.91667000000001"/>
    <n v="5674.63"/>
    <n v="820968.95999999996"/>
    <n v="0"/>
    <n v="400.6603147765598"/>
    <n v="400.6603147765598"/>
    <n v="0"/>
    <n v="0"/>
    <n v="0"/>
    <x v="0"/>
  </r>
  <r>
    <x v="4"/>
    <n v="7289"/>
    <n v="2014"/>
    <n v="2"/>
    <x v="32"/>
    <n v="595.65000999999995"/>
    <n v="7898.6"/>
    <n v="1196183.8899999999"/>
    <n v="0"/>
    <n v="318.25131674219233"/>
    <n v="318.25131674219233"/>
    <n v="0"/>
    <n v="0"/>
    <n v="0"/>
    <x v="0"/>
  </r>
  <r>
    <x v="4"/>
    <n v="7289"/>
    <n v="2014"/>
    <n v="3"/>
    <x v="33"/>
    <n v="670.75"/>
    <n v="7081.47"/>
    <n v="1076363.95"/>
    <n v="0"/>
    <n v="253.38096161013792"/>
    <n v="253.38096161013792"/>
    <n v="0"/>
    <n v="0"/>
    <n v="0"/>
    <x v="0"/>
  </r>
  <r>
    <x v="4"/>
    <n v="7289"/>
    <n v="2014"/>
    <n v="4"/>
    <x v="0"/>
    <n v="700.875"/>
    <n v="7163.3"/>
    <n v="1074270.33"/>
    <n v="0"/>
    <n v="245.29224184055644"/>
    <n v="245.29224184055644"/>
    <n v="0"/>
    <n v="0"/>
    <n v="0"/>
    <x v="0"/>
  </r>
  <r>
    <x v="4"/>
    <n v="7289"/>
    <n v="2014"/>
    <n v="5"/>
    <x v="1"/>
    <n v="744"/>
    <n v="7218.61"/>
    <n v="1014000.02"/>
    <n v="0"/>
    <n v="232.85838709677418"/>
    <n v="232.85838709677418"/>
    <n v="0"/>
    <n v="0"/>
    <n v="0"/>
    <x v="0"/>
  </r>
  <r>
    <x v="4"/>
    <n v="7289"/>
    <n v="2014"/>
    <n v="6"/>
    <x v="2"/>
    <n v="709.33334000000002"/>
    <n v="7012.55"/>
    <n v="1032224.48"/>
    <n v="0"/>
    <n v="237.26672709335784"/>
    <n v="237.26672709335784"/>
    <n v="0"/>
    <n v="0"/>
    <n v="0"/>
    <x v="0"/>
  </r>
  <r>
    <x v="4"/>
    <n v="7289"/>
    <n v="2014"/>
    <n v="7"/>
    <x v="3"/>
    <n v="732.66638999999998"/>
    <n v="6847.42"/>
    <n v="1021004.31"/>
    <n v="0"/>
    <n v="224.30137678350442"/>
    <n v="224.30137678350442"/>
    <n v="0"/>
    <n v="0"/>
    <n v="0"/>
    <x v="0"/>
  </r>
  <r>
    <x v="4"/>
    <n v="7289"/>
    <n v="2014"/>
    <n v="8"/>
    <x v="4"/>
    <n v="433.32499999999999"/>
    <n v="3475.39"/>
    <n v="526611.06999999995"/>
    <n v="0"/>
    <n v="192.48684013154099"/>
    <n v="192.48684013154099"/>
    <n v="0"/>
    <n v="0"/>
    <n v="0"/>
    <x v="0"/>
  </r>
  <r>
    <x v="4"/>
    <n v="7289"/>
    <n v="2014"/>
    <n v="9"/>
    <x v="5"/>
    <n v="647.45834000000002"/>
    <n v="5314.55"/>
    <n v="833248.65"/>
    <n v="0"/>
    <n v="196.99985639230474"/>
    <n v="196.99985639230474"/>
    <n v="0"/>
    <n v="0"/>
    <n v="0"/>
    <x v="0"/>
  </r>
  <r>
    <x v="4"/>
    <n v="7289"/>
    <n v="2014"/>
    <n v="10"/>
    <x v="6"/>
    <n v="733.33333000000005"/>
    <n v="5732.97"/>
    <n v="886879.16"/>
    <n v="182.78"/>
    <n v="187.62447358011124"/>
    <n v="187.62447358011124"/>
    <n v="3.0897181253433631E-2"/>
    <n v="0"/>
    <n v="0"/>
    <x v="0"/>
  </r>
  <r>
    <x v="4"/>
    <n v="7289"/>
    <n v="2014"/>
    <n v="11"/>
    <x v="7"/>
    <n v="597.375"/>
    <n v="4716.3100000000004"/>
    <n v="732052.12"/>
    <n v="192.87"/>
    <n v="189.48138104205901"/>
    <n v="189.48138104205901"/>
    <n v="3.9287620335779087E-2"/>
    <n v="0"/>
    <n v="0"/>
    <x v="0"/>
  </r>
  <r>
    <x v="4"/>
    <n v="7289"/>
    <n v="2014"/>
    <n v="12"/>
    <x v="8"/>
    <n v="0"/>
    <n v="0"/>
    <n v="0"/>
    <n v="0"/>
    <s v=""/>
    <s v=""/>
    <s v=""/>
    <n v="0"/>
    <n v="0"/>
    <x v="1"/>
  </r>
  <r>
    <x v="4"/>
    <n v="7289"/>
    <n v="2015"/>
    <n v="1"/>
    <x v="9"/>
    <n v="697.46666000000005"/>
    <n v="5975.51"/>
    <n v="878873.59"/>
    <n v="207.79"/>
    <n v="205.61877466659124"/>
    <n v="205.61877466659124"/>
    <n v="3.3605032911228627E-2"/>
    <n v="0"/>
    <n v="0"/>
    <x v="0"/>
  </r>
  <r>
    <x v="4"/>
    <n v="7289"/>
    <n v="2015"/>
    <n v="2"/>
    <x v="10"/>
    <n v="649.39166"/>
    <n v="4581.29"/>
    <n v="696960.15"/>
    <n v="258.99"/>
    <n v="169.3137851508595"/>
    <n v="169.3137851508595"/>
    <n v="5.3507235118629502E-2"/>
    <n v="0"/>
    <n v="0"/>
    <x v="0"/>
  </r>
  <r>
    <x v="4"/>
    <n v="7289"/>
    <n v="2015"/>
    <n v="3"/>
    <x v="11"/>
    <n v="665.66666999999995"/>
    <n v="4133.47"/>
    <n v="610220.42000000004"/>
    <n v="309.74"/>
    <n v="149.02846194777939"/>
    <n v="149.02846194777939"/>
    <n v="6.9710862191973824E-2"/>
    <n v="0"/>
    <n v="0"/>
    <x v="0"/>
  </r>
  <r>
    <x v="4"/>
    <n v="7289"/>
    <n v="2015"/>
    <n v="4"/>
    <x v="12"/>
    <n v="720"/>
    <n v="4259.92"/>
    <n v="621371.14"/>
    <n v="318.02999999999997"/>
    <n v="141.99733333333333"/>
    <n v="141.99733333333333"/>
    <n v="6.9469959261241387E-2"/>
    <n v="0"/>
    <n v="0"/>
    <x v="0"/>
  </r>
  <r>
    <x v="4"/>
    <n v="7289"/>
    <n v="2015"/>
    <n v="5"/>
    <x v="13"/>
    <n v="737.16666999999995"/>
    <n v="4057.96"/>
    <n v="591890.28"/>
    <n v="301.77"/>
    <n v="132.11536001756565"/>
    <n v="132.11536001756565"/>
    <n v="6.921758916263164E-2"/>
    <n v="0"/>
    <n v="0"/>
    <x v="0"/>
  </r>
  <r>
    <x v="4"/>
    <n v="7289"/>
    <n v="2015"/>
    <n v="6"/>
    <x v="14"/>
    <n v="718.98334"/>
    <n v="3665.8"/>
    <n v="537022.80000000005"/>
    <n v="291.57"/>
    <n v="122.36611769057126"/>
    <n v="122.36611769057126"/>
    <n v="7.3677720304141381E-2"/>
    <n v="0"/>
    <n v="0"/>
    <x v="0"/>
  </r>
  <r>
    <x v="4"/>
    <n v="7289"/>
    <n v="2015"/>
    <n v="7"/>
    <x v="15"/>
    <n v="420.18360999999999"/>
    <n v="2238.4499999999998"/>
    <n v="329941.90999999997"/>
    <n v="184.75"/>
    <n v="127.8555343936428"/>
    <n v="127.8555343936428"/>
    <n v="7.6242159128425233E-2"/>
    <n v="0"/>
    <n v="0"/>
    <x v="0"/>
  </r>
  <r>
    <x v="4"/>
    <n v="7289"/>
    <n v="2015"/>
    <n v="8"/>
    <x v="16"/>
    <n v="276.29097000000002"/>
    <n v="3577.67"/>
    <n v="542285.92000000004"/>
    <n v="1856.58"/>
    <n v="310.77410890410209"/>
    <n v="310.77410890410209"/>
    <n v="0.3416442011317109"/>
    <n v="0"/>
    <n v="0"/>
    <x v="0"/>
  </r>
  <r>
    <x v="4"/>
    <n v="7289"/>
    <n v="2015"/>
    <n v="9"/>
    <x v="17"/>
    <n v="719.15805"/>
    <n v="7417.35"/>
    <n v="1121246.68"/>
    <n v="3986.62"/>
    <n v="247.53446060987571"/>
    <n v="247.53446060987571"/>
    <n v="0.34958176845431893"/>
    <n v="0"/>
    <n v="0"/>
    <x v="0"/>
  </r>
  <r>
    <x v="4"/>
    <n v="7289"/>
    <n v="2015"/>
    <n v="10"/>
    <x v="18"/>
    <n v="743.16666999999995"/>
    <n v="6346.83"/>
    <n v="972413.69"/>
    <n v="3628.62"/>
    <n v="204.96602733812054"/>
    <n v="204.96602733812054"/>
    <n v="0.36375501857059078"/>
    <n v="0"/>
    <n v="0"/>
    <x v="0"/>
  </r>
  <r>
    <x v="4"/>
    <n v="7289"/>
    <n v="2015"/>
    <n v="11"/>
    <x v="19"/>
    <n v="438.72541000000001"/>
    <n v="3926.01"/>
    <n v="605737.54"/>
    <n v="2740.47"/>
    <n v="214.76813936990794"/>
    <n v="214.76813936990794"/>
    <n v="0.41108201029628827"/>
    <n v="0"/>
    <n v="0"/>
    <x v="0"/>
  </r>
  <r>
    <x v="4"/>
    <n v="7289"/>
    <n v="2015"/>
    <n v="12"/>
    <x v="20"/>
    <n v="541.17499999999995"/>
    <n v="4919.04"/>
    <n v="751606.71"/>
    <n v="5075.9399999999996"/>
    <n v="218.14932323185661"/>
    <n v="218.14932323185661"/>
    <n v="0.50784894016796434"/>
    <n v="0"/>
    <n v="0"/>
    <x v="0"/>
  </r>
  <r>
    <x v="4"/>
    <n v="7289"/>
    <n v="2016"/>
    <n v="1"/>
    <x v="21"/>
    <n v="350.4"/>
    <n v="2890.93"/>
    <n v="445568.02"/>
    <n v="3648.91"/>
    <n v="198.00890410958903"/>
    <n v="198.00890410958903"/>
    <n v="0.55795095904486958"/>
    <n v="0"/>
    <n v="0"/>
    <x v="0"/>
  </r>
  <r>
    <x v="4"/>
    <n v="7289"/>
    <n v="2016"/>
    <n v="2"/>
    <x v="22"/>
    <n v="694.75"/>
    <n v="5109.33"/>
    <n v="805794.85"/>
    <n v="5891.02"/>
    <n v="176.50078445483987"/>
    <n v="176.50078445483987"/>
    <n v="0.53553023312894588"/>
    <n v="0"/>
    <n v="0"/>
    <x v="0"/>
  </r>
  <r>
    <x v="4"/>
    <n v="7289"/>
    <n v="2016"/>
    <n v="3"/>
    <x v="23"/>
    <n v="550.65832"/>
    <n v="3747.55"/>
    <n v="600593.91"/>
    <n v="5035.04"/>
    <n v="163.33395271318156"/>
    <n v="163.33395271318156"/>
    <n v="0.57329785404988731"/>
    <n v="0"/>
    <n v="0"/>
    <x v="0"/>
  </r>
  <r>
    <x v="4"/>
    <n v="7289"/>
    <n v="2016"/>
    <n v="4"/>
    <x v="24"/>
    <n v="576.50833999999998"/>
    <n v="4544.16"/>
    <n v="751127.49"/>
    <n v="5688.1"/>
    <n v="189.17304821644038"/>
    <n v="189.17304821644038"/>
    <n v="0.55589869686657689"/>
    <n v="0"/>
    <n v="0"/>
    <x v="0"/>
  </r>
  <r>
    <x v="4"/>
    <n v="7289"/>
    <n v="2016"/>
    <n v="5"/>
    <x v="34"/>
    <n v="677.16666999999995"/>
    <n v="4699.01"/>
    <n v="740192.61"/>
    <n v="6004.13"/>
    <n v="166.54133316986793"/>
    <n v="166.54133316986793"/>
    <n v="0.56096902404341165"/>
    <n v="0"/>
    <n v="0"/>
    <x v="0"/>
  </r>
  <r>
    <x v="4"/>
    <n v="7289"/>
    <n v="2016"/>
    <n v="6"/>
    <x v="35"/>
    <n v="604.91665999999998"/>
    <n v="3463.91"/>
    <n v="555535.97"/>
    <n v="5390.5"/>
    <n v="137.43023708422911"/>
    <n v="137.43023708422911"/>
    <n v="0.60879268070938664"/>
    <n v="0"/>
    <n v="0"/>
    <x v="0"/>
  </r>
  <r>
    <x v="4"/>
    <n v="7289"/>
    <n v="2016"/>
    <n v="7"/>
    <x v="36"/>
    <n v="138.375"/>
    <n v="828.57"/>
    <n v="133160.32999999999"/>
    <n v="1172.18"/>
    <n v="143.70861788617887"/>
    <n v="143.70861788617887"/>
    <n v="0.58587029863801077"/>
    <n v="0"/>
    <n v="0"/>
    <x v="0"/>
  </r>
  <r>
    <x v="4"/>
    <n v="7289"/>
    <n v="2016"/>
    <n v="8"/>
    <x v="37"/>
    <n v="0"/>
    <n v="0"/>
    <n v="0"/>
    <n v="0"/>
    <s v=""/>
    <s v=""/>
    <s v=""/>
    <n v="0"/>
    <n v="0"/>
    <x v="1"/>
  </r>
  <r>
    <x v="4"/>
    <n v="7289"/>
    <n v="2016"/>
    <n v="9"/>
    <x v="38"/>
    <n v="0"/>
    <n v="0"/>
    <n v="0"/>
    <n v="0"/>
    <s v=""/>
    <s v=""/>
    <s v=""/>
    <n v="0"/>
    <n v="0"/>
    <x v="1"/>
  </r>
  <r>
    <x v="5"/>
    <n v="5693"/>
    <n v="2007"/>
    <n v="9"/>
    <x v="104"/>
    <n v="0"/>
    <n v="0"/>
    <n v="0"/>
    <n v="0"/>
    <s v=""/>
    <s v=""/>
    <s v=""/>
    <n v="0"/>
    <n v="0"/>
    <x v="1"/>
  </r>
  <r>
    <x v="5"/>
    <n v="5693"/>
    <n v="2007"/>
    <n v="10"/>
    <x v="105"/>
    <n v="0"/>
    <n v="0"/>
    <n v="0"/>
    <n v="0"/>
    <s v=""/>
    <s v=""/>
    <s v=""/>
    <n v="0"/>
    <n v="0"/>
    <x v="1"/>
  </r>
  <r>
    <x v="5"/>
    <n v="5693"/>
    <n v="2007"/>
    <n v="11"/>
    <x v="106"/>
    <n v="0"/>
    <n v="0"/>
    <n v="0"/>
    <n v="0"/>
    <s v=""/>
    <s v=""/>
    <s v=""/>
    <n v="0"/>
    <n v="0"/>
    <x v="1"/>
  </r>
  <r>
    <x v="5"/>
    <n v="5693"/>
    <n v="2007"/>
    <n v="12"/>
    <x v="107"/>
    <n v="0"/>
    <n v="0"/>
    <n v="0"/>
    <n v="0"/>
    <s v=""/>
    <s v=""/>
    <s v=""/>
    <n v="0"/>
    <n v="0"/>
    <x v="1"/>
  </r>
  <r>
    <x v="5"/>
    <n v="5693"/>
    <n v="2008"/>
    <n v="1"/>
    <x v="108"/>
    <n v="0"/>
    <n v="0"/>
    <n v="0"/>
    <n v="0"/>
    <s v=""/>
    <s v=""/>
    <s v=""/>
    <n v="0"/>
    <n v="0"/>
    <x v="1"/>
  </r>
  <r>
    <x v="5"/>
    <n v="5693"/>
    <n v="2008"/>
    <n v="2"/>
    <x v="39"/>
    <n v="0"/>
    <n v="0"/>
    <n v="0"/>
    <n v="0"/>
    <s v=""/>
    <s v=""/>
    <s v=""/>
    <n v="0"/>
    <n v="0"/>
    <x v="1"/>
  </r>
  <r>
    <x v="5"/>
    <n v="5693"/>
    <n v="2008"/>
    <n v="3"/>
    <x v="40"/>
    <n v="0"/>
    <n v="0"/>
    <n v="0"/>
    <n v="0"/>
    <s v=""/>
    <s v=""/>
    <s v=""/>
    <n v="0"/>
    <n v="0"/>
    <x v="1"/>
  </r>
  <r>
    <x v="5"/>
    <n v="5693"/>
    <n v="2008"/>
    <n v="4"/>
    <x v="41"/>
    <n v="118.65"/>
    <n v="0"/>
    <n v="0"/>
    <n v="0"/>
    <n v="0"/>
    <n v="0"/>
    <s v=""/>
    <n v="0"/>
    <n v="29752.686893425602"/>
    <x v="2"/>
  </r>
  <r>
    <x v="5"/>
    <n v="5693"/>
    <n v="2008"/>
    <n v="5"/>
    <x v="42"/>
    <n v="714.005"/>
    <n v="0"/>
    <n v="0"/>
    <n v="0"/>
    <n v="0"/>
    <n v="0"/>
    <s v=""/>
    <n v="0"/>
    <n v="221337.106474167"/>
    <x v="2"/>
  </r>
  <r>
    <x v="5"/>
    <n v="5693"/>
    <n v="2008"/>
    <n v="6"/>
    <x v="43"/>
    <n v="598.81667000000004"/>
    <n v="0"/>
    <n v="0"/>
    <n v="0"/>
    <n v="0"/>
    <n v="0"/>
    <s v=""/>
    <n v="0"/>
    <n v="211803.65386397101"/>
    <x v="2"/>
  </r>
  <r>
    <x v="5"/>
    <n v="5693"/>
    <n v="2008"/>
    <n v="7"/>
    <x v="44"/>
    <n v="620.80832999999996"/>
    <n v="0"/>
    <n v="0"/>
    <n v="0"/>
    <n v="0"/>
    <n v="0"/>
    <s v=""/>
    <n v="0"/>
    <n v="232029.66274033301"/>
    <x v="2"/>
  </r>
  <r>
    <x v="5"/>
    <n v="5693"/>
    <n v="2008"/>
    <n v="8"/>
    <x v="45"/>
    <n v="663.07501999999999"/>
    <n v="0"/>
    <n v="0"/>
    <n v="0"/>
    <n v="0"/>
    <n v="0"/>
    <s v=""/>
    <n v="0"/>
    <n v="213913.26389397099"/>
    <x v="2"/>
  </r>
  <r>
    <x v="5"/>
    <n v="5693"/>
    <n v="2008"/>
    <n v="9"/>
    <x v="46"/>
    <n v="558.14562000000001"/>
    <n v="0"/>
    <n v="0"/>
    <n v="0"/>
    <n v="0"/>
    <n v="0"/>
    <s v=""/>
    <n v="0"/>
    <n v="98583.301266153707"/>
    <x v="2"/>
  </r>
  <r>
    <x v="5"/>
    <n v="5693"/>
    <n v="2008"/>
    <n v="10"/>
    <x v="47"/>
    <n v="701.91666999999995"/>
    <n v="0"/>
    <n v="0"/>
    <n v="0"/>
    <n v="0"/>
    <n v="0"/>
    <s v=""/>
    <n v="0"/>
    <n v="233503.40590122499"/>
    <x v="2"/>
  </r>
  <r>
    <x v="5"/>
    <n v="5693"/>
    <n v="2008"/>
    <n v="11"/>
    <x v="48"/>
    <n v="711.66666999999995"/>
    <n v="0"/>
    <n v="0"/>
    <n v="0"/>
    <n v="0"/>
    <n v="0"/>
    <s v=""/>
    <n v="0"/>
    <n v="222126.099228406"/>
    <x v="2"/>
  </r>
  <r>
    <x v="5"/>
    <n v="5693"/>
    <n v="2008"/>
    <n v="12"/>
    <x v="49"/>
    <n v="742.66665999999998"/>
    <n v="0"/>
    <n v="0"/>
    <n v="0"/>
    <n v="0"/>
    <n v="0"/>
    <s v=""/>
    <n v="0"/>
    <n v="263191.83667770802"/>
    <x v="2"/>
  </r>
  <r>
    <x v="5"/>
    <n v="5693"/>
    <n v="2009"/>
    <n v="1"/>
    <x v="50"/>
    <n v="699.33331999999996"/>
    <n v="0"/>
    <n v="0"/>
    <n v="0"/>
    <n v="0"/>
    <n v="0"/>
    <s v=""/>
    <n v="0"/>
    <n v="246659.903594167"/>
    <x v="2"/>
  </r>
  <r>
    <x v="5"/>
    <n v="5693"/>
    <n v="2009"/>
    <n v="2"/>
    <x v="51"/>
    <n v="639.66666999999995"/>
    <n v="0"/>
    <n v="0"/>
    <n v="0"/>
    <n v="0"/>
    <n v="0"/>
    <s v=""/>
    <n v="0"/>
    <n v="221133.680716042"/>
    <x v="2"/>
  </r>
  <r>
    <x v="5"/>
    <n v="5693"/>
    <n v="2009"/>
    <n v="3"/>
    <x v="52"/>
    <n v="191.08331999999999"/>
    <n v="0"/>
    <n v="0"/>
    <n v="0"/>
    <n v="0"/>
    <n v="0"/>
    <s v=""/>
    <n v="0"/>
    <n v="61187.968703333303"/>
    <x v="2"/>
  </r>
  <r>
    <x v="5"/>
    <n v="5693"/>
    <n v="2009"/>
    <n v="4"/>
    <x v="53"/>
    <n v="543.79999999999995"/>
    <n v="0"/>
    <n v="0"/>
    <n v="0"/>
    <n v="0"/>
    <n v="0"/>
    <s v=""/>
    <n v="0"/>
    <n v="106559.345925"/>
    <x v="2"/>
  </r>
  <r>
    <x v="5"/>
    <n v="5693"/>
    <n v="2009"/>
    <n v="5"/>
    <x v="54"/>
    <n v="710.5"/>
    <n v="0"/>
    <n v="0"/>
    <n v="0"/>
    <n v="0"/>
    <n v="0"/>
    <s v=""/>
    <n v="0"/>
    <n v="231503.09557979199"/>
    <x v="2"/>
  </r>
  <r>
    <x v="5"/>
    <n v="5693"/>
    <n v="2009"/>
    <n v="6"/>
    <x v="55"/>
    <n v="690.64999"/>
    <n v="0"/>
    <n v="0"/>
    <n v="0"/>
    <n v="0"/>
    <n v="0"/>
    <s v=""/>
    <n v="0"/>
    <n v="129987.98364666699"/>
    <x v="2"/>
  </r>
  <r>
    <x v="5"/>
    <n v="5693"/>
    <n v="2009"/>
    <n v="7"/>
    <x v="56"/>
    <n v="734.83333000000005"/>
    <n v="0"/>
    <n v="0"/>
    <n v="0"/>
    <n v="0"/>
    <n v="0"/>
    <s v=""/>
    <n v="0"/>
    <n v="191228.27029625"/>
    <x v="2"/>
  </r>
  <r>
    <x v="5"/>
    <n v="5693"/>
    <n v="2009"/>
    <n v="8"/>
    <x v="57"/>
    <n v="704.82500000000005"/>
    <n v="0"/>
    <n v="0"/>
    <n v="0"/>
    <n v="0"/>
    <n v="0"/>
    <s v=""/>
    <n v="0"/>
    <n v="191924.35751937499"/>
    <x v="2"/>
  </r>
  <r>
    <x v="5"/>
    <n v="5693"/>
    <n v="2009"/>
    <n v="9"/>
    <x v="58"/>
    <n v="509.66667000000001"/>
    <n v="0"/>
    <n v="0"/>
    <n v="0"/>
    <n v="0"/>
    <n v="0"/>
    <s v=""/>
    <n v="0"/>
    <n v="163785.32184013099"/>
    <x v="2"/>
  </r>
  <r>
    <x v="5"/>
    <n v="5693"/>
    <n v="2009"/>
    <n v="10"/>
    <x v="59"/>
    <n v="683.72852999999998"/>
    <n v="0"/>
    <n v="0"/>
    <n v="0"/>
    <n v="0"/>
    <n v="0"/>
    <s v=""/>
    <n v="0"/>
    <n v="182104.72754323701"/>
    <x v="2"/>
  </r>
  <r>
    <x v="5"/>
    <n v="5693"/>
    <n v="2009"/>
    <n v="11"/>
    <x v="60"/>
    <n v="706.24999000000003"/>
    <n v="0"/>
    <n v="0"/>
    <n v="0"/>
    <n v="0"/>
    <n v="0"/>
    <s v=""/>
    <n v="0"/>
    <n v="203874.34742511899"/>
    <x v="2"/>
  </r>
  <r>
    <x v="5"/>
    <n v="5693"/>
    <n v="2009"/>
    <n v="12"/>
    <x v="61"/>
    <n v="739.5"/>
    <n v="0"/>
    <n v="0"/>
    <n v="0"/>
    <n v="0"/>
    <n v="0"/>
    <s v=""/>
    <n v="0"/>
    <n v="219529.23670967101"/>
    <x v="2"/>
  </r>
  <r>
    <x v="5"/>
    <n v="5693"/>
    <n v="2010"/>
    <n v="1"/>
    <x v="62"/>
    <n v="735.16666999999995"/>
    <n v="0"/>
    <n v="0"/>
    <n v="0"/>
    <n v="0"/>
    <n v="0"/>
    <s v=""/>
    <n v="0"/>
    <n v="222678.95831334699"/>
    <x v="2"/>
  </r>
  <r>
    <x v="5"/>
    <n v="5693"/>
    <n v="2010"/>
    <n v="2"/>
    <x v="63"/>
    <n v="596.16666999999995"/>
    <n v="0"/>
    <n v="0"/>
    <n v="0"/>
    <n v="0"/>
    <n v="0"/>
    <s v=""/>
    <n v="0"/>
    <n v="185785.741334561"/>
    <x v="2"/>
  </r>
  <r>
    <x v="5"/>
    <n v="5693"/>
    <n v="2010"/>
    <n v="3"/>
    <x v="64"/>
    <n v="622.40833999999995"/>
    <n v="0"/>
    <n v="0"/>
    <n v="0"/>
    <n v="0"/>
    <n v="0"/>
    <s v=""/>
    <n v="0"/>
    <n v="168939.051110951"/>
    <x v="2"/>
  </r>
  <r>
    <x v="5"/>
    <n v="5693"/>
    <n v="2010"/>
    <n v="4"/>
    <x v="65"/>
    <n v="669.83335"/>
    <n v="0"/>
    <n v="0"/>
    <n v="0"/>
    <n v="0"/>
    <n v="0"/>
    <s v=""/>
    <n v="0"/>
    <n v="222633.11720427001"/>
    <x v="2"/>
  </r>
  <r>
    <x v="5"/>
    <n v="5693"/>
    <n v="2010"/>
    <n v="5"/>
    <x v="66"/>
    <n v="744"/>
    <n v="0"/>
    <n v="0"/>
    <n v="0"/>
    <n v="0"/>
    <n v="0"/>
    <s v=""/>
    <n v="0"/>
    <n v="252526.34641145801"/>
    <x v="2"/>
  </r>
  <r>
    <x v="5"/>
    <n v="5693"/>
    <n v="2010"/>
    <n v="6"/>
    <x v="67"/>
    <n v="715.66666999999995"/>
    <n v="0"/>
    <n v="0"/>
    <n v="0"/>
    <n v="0"/>
    <n v="0"/>
    <s v=""/>
    <n v="0"/>
    <n v="210363.840612934"/>
    <x v="2"/>
  </r>
  <r>
    <x v="5"/>
    <n v="5693"/>
    <n v="2010"/>
    <n v="7"/>
    <x v="68"/>
    <n v="743.5"/>
    <n v="0"/>
    <n v="0"/>
    <n v="0"/>
    <n v="0"/>
    <n v="0"/>
    <s v=""/>
    <n v="0"/>
    <n v="198041.39615416701"/>
    <x v="2"/>
  </r>
  <r>
    <x v="5"/>
    <n v="5693"/>
    <n v="2010"/>
    <n v="8"/>
    <x v="69"/>
    <n v="420.26666"/>
    <n v="0"/>
    <n v="0"/>
    <n v="0"/>
    <n v="0"/>
    <n v="0"/>
    <s v=""/>
    <n v="0"/>
    <n v="108631.75795894599"/>
    <x v="2"/>
  </r>
  <r>
    <x v="5"/>
    <n v="5693"/>
    <n v="2010"/>
    <n v="9"/>
    <x v="70"/>
    <n v="631.15832999999998"/>
    <n v="0"/>
    <n v="0"/>
    <n v="0"/>
    <n v="0"/>
    <n v="0"/>
    <s v=""/>
    <n v="0"/>
    <n v="145251.24517686499"/>
    <x v="2"/>
  </r>
  <r>
    <x v="5"/>
    <n v="5693"/>
    <n v="2010"/>
    <n v="10"/>
    <x v="71"/>
    <n v="700.57498999999996"/>
    <n v="0"/>
    <n v="0"/>
    <n v="0"/>
    <n v="0"/>
    <n v="0"/>
    <s v=""/>
    <n v="0"/>
    <n v="194727.431412784"/>
    <x v="2"/>
  </r>
  <r>
    <x v="5"/>
    <n v="5693"/>
    <n v="2010"/>
    <n v="11"/>
    <x v="72"/>
    <n v="644.84167000000002"/>
    <n v="0"/>
    <n v="0"/>
    <n v="0"/>
    <n v="0"/>
    <n v="0"/>
    <s v=""/>
    <n v="0"/>
    <n v="167466.12895319401"/>
    <x v="2"/>
  </r>
  <r>
    <x v="5"/>
    <n v="5693"/>
    <n v="2010"/>
    <n v="12"/>
    <x v="73"/>
    <n v="716.83334000000002"/>
    <n v="0"/>
    <n v="0"/>
    <n v="0"/>
    <n v="0"/>
    <n v="0"/>
    <s v=""/>
    <n v="0"/>
    <n v="188426.12491277501"/>
    <x v="2"/>
  </r>
  <r>
    <x v="5"/>
    <n v="5693"/>
    <n v="2011"/>
    <n v="1"/>
    <x v="74"/>
    <n v="731.08333000000005"/>
    <n v="0"/>
    <n v="0"/>
    <n v="0"/>
    <n v="0"/>
    <n v="0"/>
    <s v=""/>
    <n v="0"/>
    <n v="189083.650330417"/>
    <x v="2"/>
  </r>
  <r>
    <x v="5"/>
    <n v="5693"/>
    <n v="2011"/>
    <n v="2"/>
    <x v="75"/>
    <n v="536.74998000000005"/>
    <n v="0"/>
    <n v="0"/>
    <n v="0"/>
    <n v="0"/>
    <n v="0"/>
    <s v=""/>
    <n v="0"/>
    <n v="135389.67994562699"/>
    <x v="2"/>
  </r>
  <r>
    <x v="5"/>
    <n v="5693"/>
    <n v="2011"/>
    <n v="3"/>
    <x v="76"/>
    <n v="716.25000999999997"/>
    <n v="0"/>
    <n v="0"/>
    <n v="0"/>
    <n v="0"/>
    <n v="0"/>
    <s v=""/>
    <n v="0"/>
    <n v="184841.17272310299"/>
    <x v="2"/>
  </r>
  <r>
    <x v="5"/>
    <n v="5693"/>
    <n v="2011"/>
    <n v="4"/>
    <x v="77"/>
    <n v="696.5"/>
    <n v="0"/>
    <n v="0"/>
    <n v="0"/>
    <n v="0"/>
    <n v="0"/>
    <s v=""/>
    <n v="0"/>
    <n v="180529.418434508"/>
    <x v="2"/>
  </r>
  <r>
    <x v="5"/>
    <n v="5693"/>
    <n v="2011"/>
    <n v="5"/>
    <x v="78"/>
    <n v="737.25000999999997"/>
    <n v="0"/>
    <n v="0"/>
    <n v="0"/>
    <n v="0"/>
    <n v="0"/>
    <s v=""/>
    <n v="0"/>
    <n v="188176.55544130999"/>
    <x v="2"/>
  </r>
  <r>
    <x v="5"/>
    <n v="5693"/>
    <n v="2011"/>
    <n v="6"/>
    <x v="79"/>
    <n v="436.09167000000002"/>
    <n v="0"/>
    <n v="0"/>
    <n v="0"/>
    <n v="0"/>
    <n v="0"/>
    <s v=""/>
    <n v="0"/>
    <n v="120235.26120116199"/>
    <x v="2"/>
  </r>
  <r>
    <x v="5"/>
    <n v="5693"/>
    <n v="2011"/>
    <n v="7"/>
    <x v="80"/>
    <n v="248.09168"/>
    <n v="0"/>
    <n v="0"/>
    <n v="0"/>
    <n v="0"/>
    <n v="0"/>
    <s v=""/>
    <n v="0"/>
    <n v="65179.632855416698"/>
    <x v="2"/>
  </r>
  <r>
    <x v="5"/>
    <n v="5693"/>
    <n v="2011"/>
    <n v="8"/>
    <x v="81"/>
    <n v="642.82500000000005"/>
    <n v="0"/>
    <n v="0"/>
    <n v="0"/>
    <n v="0"/>
    <n v="0"/>
    <s v=""/>
    <n v="0"/>
    <n v="173404.70385102299"/>
    <x v="2"/>
  </r>
  <r>
    <x v="5"/>
    <n v="5693"/>
    <n v="2011"/>
    <n v="9"/>
    <x v="82"/>
    <n v="689.16665999999998"/>
    <n v="0"/>
    <n v="0"/>
    <n v="0"/>
    <n v="0"/>
    <n v="0"/>
    <s v=""/>
    <n v="0"/>
    <n v="174968.31468000001"/>
    <x v="2"/>
  </r>
  <r>
    <x v="5"/>
    <n v="5693"/>
    <n v="2011"/>
    <n v="10"/>
    <x v="83"/>
    <n v="329.05"/>
    <n v="0"/>
    <n v="0"/>
    <n v="0"/>
    <n v="0"/>
    <n v="0"/>
    <s v=""/>
    <n v="0"/>
    <n v="77827.956832708296"/>
    <x v="2"/>
  </r>
  <r>
    <x v="5"/>
    <n v="5693"/>
    <n v="2011"/>
    <n v="11"/>
    <x v="84"/>
    <n v="475.16665"/>
    <n v="0"/>
    <n v="0"/>
    <n v="0"/>
    <n v="0"/>
    <n v="0"/>
    <s v=""/>
    <n v="0"/>
    <n v="121602.289256042"/>
    <x v="2"/>
  </r>
  <r>
    <x v="5"/>
    <n v="5693"/>
    <n v="2011"/>
    <n v="12"/>
    <x v="85"/>
    <n v="438.68335000000002"/>
    <n v="0"/>
    <n v="0"/>
    <n v="0"/>
    <n v="0"/>
    <n v="0"/>
    <s v=""/>
    <n v="0"/>
    <n v="109912.560993958"/>
    <x v="2"/>
  </r>
  <r>
    <x v="5"/>
    <n v="5693"/>
    <n v="2012"/>
    <n v="1"/>
    <x v="86"/>
    <n v="426.25"/>
    <n v="0"/>
    <n v="0"/>
    <n v="0"/>
    <n v="0"/>
    <n v="0"/>
    <s v=""/>
    <n v="0"/>
    <n v="91244.764263749996"/>
    <x v="2"/>
  </r>
  <r>
    <x v="5"/>
    <n v="5693"/>
    <n v="2012"/>
    <n v="2"/>
    <x v="87"/>
    <n v="691.08333000000005"/>
    <n v="0"/>
    <n v="0"/>
    <n v="0"/>
    <n v="0"/>
    <n v="0"/>
    <s v=""/>
    <n v="0"/>
    <n v="147124.84801437499"/>
    <x v="2"/>
  </r>
  <r>
    <x v="5"/>
    <n v="5693"/>
    <n v="2012"/>
    <n v="3"/>
    <x v="88"/>
    <n v="735.08334000000002"/>
    <n v="0"/>
    <n v="0"/>
    <n v="0"/>
    <n v="0"/>
    <n v="0"/>
    <s v=""/>
    <n v="0"/>
    <n v="149154.71056209199"/>
    <x v="2"/>
  </r>
  <r>
    <x v="5"/>
    <n v="5693"/>
    <n v="2012"/>
    <n v="4"/>
    <x v="89"/>
    <n v="720"/>
    <n v="0"/>
    <n v="0"/>
    <n v="0"/>
    <n v="0"/>
    <n v="0"/>
    <s v=""/>
    <n v="0"/>
    <n v="147365.65297374999"/>
    <x v="2"/>
  </r>
  <r>
    <x v="5"/>
    <n v="5693"/>
    <n v="2012"/>
    <n v="5"/>
    <x v="90"/>
    <n v="733.08334000000002"/>
    <n v="0"/>
    <n v="0"/>
    <n v="0"/>
    <n v="0"/>
    <n v="0"/>
    <s v=""/>
    <n v="0"/>
    <n v="149129.814314583"/>
    <x v="2"/>
  </r>
  <r>
    <x v="5"/>
    <n v="5693"/>
    <n v="2012"/>
    <n v="6"/>
    <x v="91"/>
    <n v="710.16666999999995"/>
    <n v="0"/>
    <n v="0"/>
    <n v="0"/>
    <n v="0"/>
    <n v="0"/>
    <s v=""/>
    <n v="0"/>
    <n v="144762.430550208"/>
    <x v="2"/>
  </r>
  <r>
    <x v="5"/>
    <n v="5693"/>
    <n v="2012"/>
    <n v="7"/>
    <x v="92"/>
    <n v="744"/>
    <n v="0"/>
    <n v="0"/>
    <n v="0"/>
    <n v="0"/>
    <n v="0"/>
    <s v=""/>
    <n v="0"/>
    <n v="150430.98628000001"/>
    <x v="2"/>
  </r>
  <r>
    <x v="5"/>
    <n v="5693"/>
    <n v="2012"/>
    <n v="8"/>
    <x v="93"/>
    <n v="292.125"/>
    <n v="0"/>
    <n v="0"/>
    <n v="0"/>
    <n v="0"/>
    <n v="0"/>
    <s v=""/>
    <n v="0"/>
    <n v="58172.374618958303"/>
    <x v="2"/>
  </r>
  <r>
    <x v="5"/>
    <n v="5693"/>
    <n v="2012"/>
    <n v="9"/>
    <x v="94"/>
    <n v="31.658329999999999"/>
    <n v="0"/>
    <n v="0"/>
    <n v="0"/>
    <n v="0"/>
    <n v="0"/>
    <s v=""/>
    <n v="0"/>
    <n v="6025.0077433333299"/>
    <x v="2"/>
  </r>
  <r>
    <x v="5"/>
    <n v="5693"/>
    <n v="2012"/>
    <n v="10"/>
    <x v="95"/>
    <n v="507.99164999999999"/>
    <n v="0"/>
    <n v="0"/>
    <n v="0"/>
    <n v="0"/>
    <n v="0"/>
    <s v=""/>
    <n v="0"/>
    <n v="110449.68220083301"/>
    <x v="2"/>
  </r>
  <r>
    <x v="5"/>
    <n v="5693"/>
    <n v="2012"/>
    <n v="11"/>
    <x v="96"/>
    <n v="720"/>
    <n v="0"/>
    <n v="0"/>
    <n v="0"/>
    <n v="0"/>
    <n v="0"/>
    <s v=""/>
    <n v="0"/>
    <n v="162488.446784167"/>
    <x v="2"/>
  </r>
  <r>
    <x v="5"/>
    <n v="5693"/>
    <n v="2012"/>
    <n v="12"/>
    <x v="97"/>
    <n v="698.50000999999997"/>
    <n v="0"/>
    <n v="0"/>
    <n v="0"/>
    <n v="0"/>
    <n v="0"/>
    <s v=""/>
    <n v="0"/>
    <n v="144569.261914792"/>
    <x v="2"/>
  </r>
  <r>
    <x v="5"/>
    <n v="5693"/>
    <n v="2013"/>
    <n v="1"/>
    <x v="98"/>
    <n v="734.25000999999997"/>
    <n v="0"/>
    <n v="0"/>
    <n v="0"/>
    <n v="0"/>
    <n v="0"/>
    <s v=""/>
    <n v="0"/>
    <n v="155627.70428812501"/>
    <x v="2"/>
  </r>
  <r>
    <x v="5"/>
    <n v="5693"/>
    <n v="2013"/>
    <n v="2"/>
    <x v="99"/>
    <n v="672"/>
    <n v="0"/>
    <n v="0"/>
    <n v="0"/>
    <n v="0"/>
    <n v="0"/>
    <s v=""/>
    <n v="0"/>
    <n v="138901.75542999999"/>
    <x v="2"/>
  </r>
  <r>
    <x v="5"/>
    <n v="5693"/>
    <n v="2013"/>
    <n v="3"/>
    <x v="100"/>
    <n v="483.35167999999999"/>
    <n v="0"/>
    <n v="0"/>
    <n v="0"/>
    <n v="0"/>
    <n v="0"/>
    <s v=""/>
    <n v="0"/>
    <n v="96659.952466250004"/>
    <x v="2"/>
  </r>
  <r>
    <x v="5"/>
    <n v="5693"/>
    <n v="2013"/>
    <n v="4"/>
    <x v="101"/>
    <n v="563.50333000000001"/>
    <n v="0"/>
    <n v="0"/>
    <n v="0"/>
    <n v="0"/>
    <n v="0"/>
    <s v=""/>
    <n v="0"/>
    <n v="116028.21117708299"/>
    <x v="2"/>
  </r>
  <r>
    <x v="5"/>
    <n v="5693"/>
    <n v="2013"/>
    <n v="5"/>
    <x v="102"/>
    <n v="681.80001000000004"/>
    <n v="0"/>
    <n v="0"/>
    <n v="0"/>
    <n v="0"/>
    <n v="0"/>
    <s v=""/>
    <n v="0"/>
    <n v="156535.02406208299"/>
    <x v="2"/>
  </r>
  <r>
    <x v="5"/>
    <n v="5693"/>
    <n v="2013"/>
    <n v="6"/>
    <x v="103"/>
    <n v="573.33333000000005"/>
    <n v="0"/>
    <n v="0"/>
    <n v="0"/>
    <n v="0"/>
    <n v="0"/>
    <s v=""/>
    <n v="0"/>
    <n v="132162.427204167"/>
    <x v="2"/>
  </r>
  <r>
    <x v="5"/>
    <n v="5693"/>
    <n v="2013"/>
    <n v="7"/>
    <x v="25"/>
    <n v="652.70833000000005"/>
    <n v="0"/>
    <n v="0"/>
    <n v="0"/>
    <n v="0"/>
    <n v="0"/>
    <s v=""/>
    <n v="0"/>
    <n v="133542.635932292"/>
    <x v="2"/>
  </r>
  <r>
    <x v="5"/>
    <n v="5693"/>
    <n v="2013"/>
    <n v="8"/>
    <x v="26"/>
    <n v="689.71666000000005"/>
    <n v="0"/>
    <n v="0"/>
    <n v="0"/>
    <n v="0"/>
    <n v="0"/>
    <s v=""/>
    <n v="0"/>
    <n v="156070.85594812501"/>
    <x v="2"/>
  </r>
  <r>
    <x v="5"/>
    <n v="5693"/>
    <n v="2013"/>
    <n v="9"/>
    <x v="27"/>
    <n v="608.44167000000004"/>
    <n v="0"/>
    <n v="0"/>
    <n v="0"/>
    <n v="0"/>
    <n v="0"/>
    <s v=""/>
    <n v="0"/>
    <n v="130322.732728125"/>
    <x v="2"/>
  </r>
  <r>
    <x v="5"/>
    <n v="5693"/>
    <n v="2013"/>
    <n v="10"/>
    <x v="28"/>
    <n v="650.41666999999995"/>
    <n v="0"/>
    <n v="0"/>
    <n v="0"/>
    <n v="0"/>
    <n v="0"/>
    <s v=""/>
    <n v="0"/>
    <n v="144742.56787083301"/>
    <x v="2"/>
  </r>
  <r>
    <x v="5"/>
    <n v="5693"/>
    <n v="2013"/>
    <n v="11"/>
    <x v="29"/>
    <n v="682.33333000000005"/>
    <n v="0"/>
    <n v="0"/>
    <n v="0"/>
    <n v="0"/>
    <n v="0"/>
    <s v=""/>
    <n v="0"/>
    <n v="155972.70506124999"/>
    <x v="2"/>
  </r>
  <r>
    <x v="5"/>
    <n v="5693"/>
    <n v="2013"/>
    <n v="12"/>
    <x v="30"/>
    <n v="676.24999000000003"/>
    <n v="0"/>
    <n v="0"/>
    <n v="0"/>
    <n v="0"/>
    <n v="0"/>
    <s v=""/>
    <n v="0"/>
    <n v="148594.15725416699"/>
    <x v="2"/>
  </r>
  <r>
    <x v="5"/>
    <n v="5693"/>
    <n v="2014"/>
    <n v="1"/>
    <x v="31"/>
    <n v="682.08334000000002"/>
    <n v="0"/>
    <n v="0"/>
    <n v="0"/>
    <n v="0"/>
    <n v="0"/>
    <s v=""/>
    <n v="0"/>
    <n v="147807.99611625"/>
    <x v="2"/>
  </r>
  <r>
    <x v="5"/>
    <n v="5693"/>
    <n v="2014"/>
    <n v="2"/>
    <x v="32"/>
    <n v="579.10500000000002"/>
    <n v="0"/>
    <n v="0"/>
    <n v="0"/>
    <n v="0"/>
    <n v="0"/>
    <s v=""/>
    <n v="0"/>
    <n v="131023.21384"/>
    <x v="2"/>
  </r>
  <r>
    <x v="5"/>
    <n v="5693"/>
    <n v="2014"/>
    <n v="3"/>
    <x v="33"/>
    <n v="685.99999000000003"/>
    <n v="0"/>
    <n v="0"/>
    <n v="0"/>
    <n v="0"/>
    <n v="0"/>
    <s v=""/>
    <n v="0"/>
    <n v="154097.211248687"/>
    <x v="2"/>
  </r>
  <r>
    <x v="5"/>
    <n v="5693"/>
    <n v="2014"/>
    <n v="4"/>
    <x v="0"/>
    <n v="707.54166999999995"/>
    <n v="0"/>
    <n v="0"/>
    <n v="0"/>
    <n v="0"/>
    <n v="0"/>
    <s v=""/>
    <n v="0"/>
    <n v="185314.47003520801"/>
    <x v="2"/>
  </r>
  <r>
    <x v="5"/>
    <n v="5693"/>
    <n v="2014"/>
    <n v="5"/>
    <x v="1"/>
    <n v="606.33334000000002"/>
    <n v="0"/>
    <n v="0"/>
    <n v="0"/>
    <n v="0"/>
    <n v="0"/>
    <s v=""/>
    <n v="0"/>
    <n v="156189.17630393201"/>
    <x v="2"/>
  </r>
  <r>
    <x v="5"/>
    <n v="5693"/>
    <n v="2014"/>
    <n v="6"/>
    <x v="2"/>
    <n v="697.99643000000003"/>
    <n v="0"/>
    <n v="0"/>
    <n v="0"/>
    <n v="0"/>
    <n v="0"/>
    <s v=""/>
    <n v="0"/>
    <n v="202240.55791249999"/>
    <x v="2"/>
  </r>
  <r>
    <x v="5"/>
    <n v="5693"/>
    <n v="2014"/>
    <n v="7"/>
    <x v="3"/>
    <n v="742.16666999999995"/>
    <n v="0"/>
    <n v="0"/>
    <n v="0"/>
    <n v="0"/>
    <n v="0"/>
    <s v=""/>
    <n v="0"/>
    <n v="226583.879235"/>
    <x v="2"/>
  </r>
  <r>
    <x v="5"/>
    <n v="5693"/>
    <n v="2014"/>
    <n v="8"/>
    <x v="4"/>
    <n v="607.30001000000004"/>
    <n v="0"/>
    <n v="0"/>
    <n v="0"/>
    <n v="0"/>
    <n v="0"/>
    <s v=""/>
    <n v="0"/>
    <n v="184109.826053542"/>
    <x v="2"/>
  </r>
  <r>
    <x v="5"/>
    <n v="5693"/>
    <n v="2014"/>
    <n v="9"/>
    <x v="5"/>
    <n v="693.33333000000005"/>
    <n v="0"/>
    <n v="0"/>
    <n v="0"/>
    <n v="0"/>
    <n v="0"/>
    <s v=""/>
    <n v="0"/>
    <n v="199867.76395625001"/>
    <x v="2"/>
  </r>
  <r>
    <x v="5"/>
    <n v="5693"/>
    <n v="2014"/>
    <n v="10"/>
    <x v="6"/>
    <n v="742.33334000000002"/>
    <n v="0"/>
    <n v="0"/>
    <n v="0"/>
    <n v="0"/>
    <n v="0"/>
    <s v=""/>
    <n v="0"/>
    <n v="219621.85870388299"/>
    <x v="2"/>
  </r>
  <r>
    <x v="5"/>
    <n v="5693"/>
    <n v="2014"/>
    <n v="11"/>
    <x v="7"/>
    <n v="619.88333"/>
    <n v="0"/>
    <n v="0"/>
    <n v="0"/>
    <n v="0"/>
    <n v="0"/>
    <s v=""/>
    <n v="0"/>
    <n v="166856.737742917"/>
    <x v="2"/>
  </r>
  <r>
    <x v="5"/>
    <n v="5693"/>
    <n v="2014"/>
    <n v="12"/>
    <x v="8"/>
    <n v="292.05833000000001"/>
    <n v="0"/>
    <n v="0"/>
    <n v="0"/>
    <n v="0"/>
    <n v="0"/>
    <s v=""/>
    <n v="0"/>
    <n v="66671.231681250007"/>
    <x v="2"/>
  </r>
  <r>
    <x v="5"/>
    <n v="5693"/>
    <n v="2015"/>
    <n v="1"/>
    <x v="9"/>
    <n v="675.88333999999998"/>
    <n v="0"/>
    <n v="0"/>
    <n v="0"/>
    <n v="0"/>
    <n v="0"/>
    <s v=""/>
    <n v="0"/>
    <n v="81160.899210208299"/>
    <x v="2"/>
  </r>
  <r>
    <x v="5"/>
    <n v="5693"/>
    <n v="2015"/>
    <n v="2"/>
    <x v="10"/>
    <n v="588.88333999999998"/>
    <n v="0"/>
    <n v="0"/>
    <n v="0"/>
    <n v="0"/>
    <n v="0"/>
    <s v=""/>
    <n v="0"/>
    <n v="126376.884487292"/>
    <x v="2"/>
  </r>
  <r>
    <x v="5"/>
    <n v="5693"/>
    <n v="2015"/>
    <n v="3"/>
    <x v="11"/>
    <n v="744"/>
    <n v="0"/>
    <n v="0"/>
    <n v="0"/>
    <n v="0"/>
    <n v="0"/>
    <s v=""/>
    <n v="0"/>
    <n v="137054.803790462"/>
    <x v="2"/>
  </r>
  <r>
    <x v="5"/>
    <n v="5693"/>
    <n v="2015"/>
    <n v="4"/>
    <x v="12"/>
    <n v="707.66666999999995"/>
    <n v="0"/>
    <n v="0"/>
    <n v="0"/>
    <n v="0"/>
    <n v="0"/>
    <s v=""/>
    <n v="0"/>
    <n v="143683.084076667"/>
    <x v="2"/>
  </r>
  <r>
    <x v="5"/>
    <n v="5693"/>
    <n v="2015"/>
    <n v="5"/>
    <x v="13"/>
    <n v="744"/>
    <n v="0"/>
    <n v="0"/>
    <n v="0"/>
    <n v="0"/>
    <n v="0"/>
    <s v=""/>
    <n v="0"/>
    <n v="128648.16757999999"/>
    <x v="2"/>
  </r>
  <r>
    <x v="5"/>
    <n v="5693"/>
    <n v="2015"/>
    <n v="6"/>
    <x v="14"/>
    <n v="717.45"/>
    <n v="0"/>
    <n v="0"/>
    <n v="0"/>
    <n v="0"/>
    <n v="0"/>
    <s v=""/>
    <n v="0"/>
    <n v="161283.08737583301"/>
    <x v="2"/>
  </r>
  <r>
    <x v="5"/>
    <n v="5693"/>
    <n v="2015"/>
    <n v="7"/>
    <x v="15"/>
    <n v="739.67499999999995"/>
    <n v="0"/>
    <n v="0"/>
    <n v="0"/>
    <n v="0"/>
    <n v="0"/>
    <s v=""/>
    <n v="0"/>
    <n v="156312.54031166699"/>
    <x v="2"/>
  </r>
  <r>
    <x v="5"/>
    <n v="5693"/>
    <n v="2015"/>
    <n v="8"/>
    <x v="16"/>
    <n v="614.66736000000003"/>
    <n v="0"/>
    <n v="0"/>
    <n v="0"/>
    <n v="0"/>
    <n v="0"/>
    <s v=""/>
    <n v="0"/>
    <n v="114753.050129375"/>
    <x v="2"/>
  </r>
  <r>
    <x v="5"/>
    <n v="5693"/>
    <n v="2015"/>
    <n v="9"/>
    <x v="17"/>
    <n v="715.98375999999996"/>
    <n v="0"/>
    <n v="0"/>
    <n v="0"/>
    <n v="0"/>
    <n v="0"/>
    <s v=""/>
    <n v="0"/>
    <n v="133755.403172083"/>
    <x v="2"/>
  </r>
  <r>
    <x v="5"/>
    <n v="5693"/>
    <n v="2015"/>
    <n v="10"/>
    <x v="18"/>
    <n v="728.59946000000002"/>
    <n v="0"/>
    <n v="0"/>
    <n v="0"/>
    <n v="0"/>
    <n v="0"/>
    <s v=""/>
    <n v="0"/>
    <n v="135860.216532925"/>
    <x v="2"/>
  </r>
  <r>
    <x v="5"/>
    <n v="5693"/>
    <n v="2015"/>
    <n v="11"/>
    <x v="19"/>
    <n v="698.5"/>
    <n v="0"/>
    <n v="0"/>
    <n v="0"/>
    <n v="0"/>
    <n v="0"/>
    <s v=""/>
    <n v="0"/>
    <n v="160504.98263479199"/>
    <x v="2"/>
  </r>
  <r>
    <x v="5"/>
    <n v="5693"/>
    <n v="2015"/>
    <n v="12"/>
    <x v="20"/>
    <n v="739.24999000000003"/>
    <n v="0"/>
    <n v="0"/>
    <n v="0"/>
    <n v="0"/>
    <n v="0"/>
    <s v=""/>
    <n v="0"/>
    <n v="152921.636901458"/>
    <x v="2"/>
  </r>
  <r>
    <x v="5"/>
    <n v="5693"/>
    <n v="2016"/>
    <n v="1"/>
    <x v="21"/>
    <n v="721.33333000000005"/>
    <n v="0"/>
    <n v="0"/>
    <n v="0"/>
    <n v="0"/>
    <n v="0"/>
    <s v=""/>
    <n v="0"/>
    <n v="152129.93557458301"/>
    <x v="2"/>
  </r>
  <r>
    <x v="5"/>
    <n v="5693"/>
    <n v="2016"/>
    <n v="2"/>
    <x v="22"/>
    <n v="693.41666999999995"/>
    <n v="0"/>
    <n v="0"/>
    <n v="0"/>
    <n v="0"/>
    <n v="0"/>
    <s v=""/>
    <n v="0"/>
    <n v="148078.12622041701"/>
    <x v="2"/>
  </r>
  <r>
    <x v="5"/>
    <n v="5693"/>
    <n v="2016"/>
    <n v="3"/>
    <x v="23"/>
    <n v="743"/>
    <n v="0"/>
    <n v="0"/>
    <n v="0"/>
    <n v="0"/>
    <n v="0"/>
    <s v=""/>
    <n v="0"/>
    <n v="141201.78562062501"/>
    <x v="2"/>
  </r>
  <r>
    <x v="5"/>
    <n v="5693"/>
    <n v="2016"/>
    <n v="4"/>
    <x v="24"/>
    <n v="701.83333000000005"/>
    <n v="0"/>
    <n v="0"/>
    <n v="0"/>
    <n v="0"/>
    <n v="0"/>
    <s v=""/>
    <n v="0"/>
    <n v="220078.31513541701"/>
    <x v="2"/>
  </r>
  <r>
    <x v="5"/>
    <n v="5693"/>
    <n v="2016"/>
    <n v="5"/>
    <x v="34"/>
    <n v="744"/>
    <n v="0"/>
    <n v="0"/>
    <n v="0"/>
    <n v="0"/>
    <n v="0"/>
    <s v=""/>
    <n v="0"/>
    <n v="269279.17616104201"/>
    <x v="2"/>
  </r>
  <r>
    <x v="5"/>
    <n v="5693"/>
    <n v="2016"/>
    <n v="6"/>
    <x v="35"/>
    <n v="708.58333000000005"/>
    <n v="0"/>
    <n v="0"/>
    <n v="0"/>
    <n v="0"/>
    <n v="0"/>
    <s v=""/>
    <n v="0"/>
    <n v="257281.26086979199"/>
    <x v="2"/>
  </r>
  <r>
    <x v="5"/>
    <n v="5693"/>
    <n v="2016"/>
    <n v="7"/>
    <x v="36"/>
    <n v="608.64998000000003"/>
    <n v="0"/>
    <n v="0"/>
    <n v="0"/>
    <n v="0"/>
    <n v="0"/>
    <s v=""/>
    <n v="0"/>
    <n v="197975.70744"/>
    <x v="2"/>
  </r>
  <r>
    <x v="5"/>
    <n v="5693"/>
    <n v="2016"/>
    <n v="8"/>
    <x v="37"/>
    <n v="656.58333000000005"/>
    <n v="0"/>
    <n v="0"/>
    <n v="0"/>
    <n v="0"/>
    <n v="0"/>
    <s v=""/>
    <n v="0"/>
    <n v="132382.87739520799"/>
    <x v="2"/>
  </r>
  <r>
    <x v="5"/>
    <n v="5693"/>
    <n v="2016"/>
    <n v="9"/>
    <x v="38"/>
    <n v="340.10833000000002"/>
    <n v="0"/>
    <n v="0"/>
    <n v="0"/>
    <n v="0"/>
    <n v="0"/>
    <s v=""/>
    <n v="0"/>
    <n v="61200.875995416704"/>
    <x v="2"/>
  </r>
  <r>
    <x v="5"/>
    <n v="5693"/>
    <n v="2016"/>
    <n v="10"/>
    <x v="109"/>
    <n v="0"/>
    <n v="0"/>
    <n v="0"/>
    <n v="0"/>
    <s v=""/>
    <s v=""/>
    <s v=""/>
    <n v="0"/>
    <n v="0"/>
    <x v="1"/>
  </r>
  <r>
    <x v="5"/>
    <n v="5693"/>
    <n v="2016"/>
    <n v="11"/>
    <x v="110"/>
    <n v="0"/>
    <n v="0"/>
    <n v="0"/>
    <n v="0"/>
    <s v=""/>
    <s v=""/>
    <s v=""/>
    <n v="0"/>
    <n v="0"/>
    <x v="1"/>
  </r>
  <r>
    <x v="5"/>
    <n v="5693"/>
    <n v="2016"/>
    <n v="12"/>
    <x v="111"/>
    <n v="0"/>
    <n v="0"/>
    <n v="0"/>
    <n v="0"/>
    <s v=""/>
    <s v=""/>
    <s v=""/>
    <n v="0"/>
    <n v="0"/>
    <x v="1"/>
  </r>
  <r>
    <x v="6"/>
    <n v="5769"/>
    <n v="2007"/>
    <n v="9"/>
    <x v="104"/>
    <n v="0"/>
    <n v="0"/>
    <n v="0"/>
    <n v="0"/>
    <s v=""/>
    <s v=""/>
    <s v=""/>
    <n v="0"/>
    <n v="0"/>
    <x v="1"/>
  </r>
  <r>
    <x v="6"/>
    <n v="5769"/>
    <n v="2007"/>
    <n v="10"/>
    <x v="105"/>
    <n v="0"/>
    <n v="0"/>
    <n v="0"/>
    <n v="0"/>
    <s v=""/>
    <s v=""/>
    <s v=""/>
    <n v="0"/>
    <n v="0"/>
    <x v="1"/>
  </r>
  <r>
    <x v="6"/>
    <n v="5769"/>
    <n v="2007"/>
    <n v="11"/>
    <x v="106"/>
    <n v="0"/>
    <n v="0"/>
    <n v="0"/>
    <n v="0"/>
    <s v=""/>
    <s v=""/>
    <s v=""/>
    <n v="0"/>
    <n v="0"/>
    <x v="1"/>
  </r>
  <r>
    <x v="6"/>
    <n v="5769"/>
    <n v="2007"/>
    <n v="12"/>
    <x v="107"/>
    <n v="0"/>
    <n v="0"/>
    <n v="0"/>
    <n v="0"/>
    <s v=""/>
    <s v=""/>
    <s v=""/>
    <n v="0"/>
    <n v="0"/>
    <x v="1"/>
  </r>
  <r>
    <x v="6"/>
    <n v="5769"/>
    <n v="2008"/>
    <n v="1"/>
    <x v="108"/>
    <n v="0"/>
    <n v="0"/>
    <n v="0"/>
    <n v="0"/>
    <s v=""/>
    <s v=""/>
    <s v=""/>
    <n v="0"/>
    <n v="0"/>
    <x v="1"/>
  </r>
  <r>
    <x v="6"/>
    <n v="5769"/>
    <n v="2008"/>
    <n v="2"/>
    <x v="39"/>
    <n v="0"/>
    <n v="0"/>
    <n v="0"/>
    <n v="0"/>
    <s v=""/>
    <s v=""/>
    <s v=""/>
    <n v="0"/>
    <n v="0"/>
    <x v="1"/>
  </r>
  <r>
    <x v="6"/>
    <n v="5769"/>
    <n v="2008"/>
    <n v="3"/>
    <x v="40"/>
    <n v="0"/>
    <n v="0"/>
    <n v="0"/>
    <n v="0"/>
    <s v=""/>
    <s v=""/>
    <s v=""/>
    <n v="0"/>
    <n v="0"/>
    <x v="1"/>
  </r>
  <r>
    <x v="6"/>
    <n v="5769"/>
    <n v="2008"/>
    <n v="4"/>
    <x v="41"/>
    <n v="0"/>
    <n v="0"/>
    <n v="0"/>
    <n v="0"/>
    <s v=""/>
    <s v=""/>
    <s v=""/>
    <n v="0"/>
    <n v="0"/>
    <x v="1"/>
  </r>
  <r>
    <x v="6"/>
    <n v="5769"/>
    <n v="2008"/>
    <n v="5"/>
    <x v="42"/>
    <n v="0"/>
    <n v="0"/>
    <n v="0"/>
    <n v="0"/>
    <s v=""/>
    <s v=""/>
    <s v=""/>
    <n v="0"/>
    <n v="0"/>
    <x v="1"/>
  </r>
  <r>
    <x v="6"/>
    <n v="5769"/>
    <n v="2008"/>
    <n v="6"/>
    <x v="43"/>
    <n v="0"/>
    <n v="0"/>
    <n v="0"/>
    <n v="0"/>
    <s v=""/>
    <s v=""/>
    <s v=""/>
    <n v="0"/>
    <n v="0"/>
    <x v="1"/>
  </r>
  <r>
    <x v="6"/>
    <n v="5769"/>
    <n v="2008"/>
    <n v="7"/>
    <x v="44"/>
    <n v="0"/>
    <n v="0"/>
    <n v="0"/>
    <n v="0"/>
    <s v=""/>
    <s v=""/>
    <s v=""/>
    <n v="0"/>
    <n v="0"/>
    <x v="1"/>
  </r>
  <r>
    <x v="6"/>
    <n v="5769"/>
    <n v="2008"/>
    <n v="8"/>
    <x v="45"/>
    <n v="98.081670000000003"/>
    <n v="0"/>
    <n v="0"/>
    <n v="0"/>
    <n v="0"/>
    <n v="0"/>
    <s v=""/>
    <n v="0"/>
    <n v="14480.9320771154"/>
    <x v="2"/>
  </r>
  <r>
    <x v="6"/>
    <n v="5769"/>
    <n v="2008"/>
    <n v="9"/>
    <x v="46"/>
    <n v="557.88057000000003"/>
    <n v="0"/>
    <n v="0"/>
    <n v="0"/>
    <n v="0"/>
    <n v="0"/>
    <s v=""/>
    <n v="0"/>
    <n v="64814.286524475297"/>
    <x v="2"/>
  </r>
  <r>
    <x v="6"/>
    <n v="5769"/>
    <n v="2008"/>
    <n v="10"/>
    <x v="47"/>
    <n v="563.99999000000003"/>
    <n v="0"/>
    <n v="0"/>
    <n v="0"/>
    <n v="0"/>
    <n v="0"/>
    <s v=""/>
    <n v="0"/>
    <n v="122254.371735423"/>
    <x v="2"/>
  </r>
  <r>
    <x v="6"/>
    <n v="5769"/>
    <n v="2008"/>
    <n v="11"/>
    <x v="48"/>
    <n v="716.16666999999995"/>
    <n v="0"/>
    <n v="0"/>
    <n v="0"/>
    <n v="0"/>
    <n v="0"/>
    <s v=""/>
    <n v="0"/>
    <n v="219779.98439821601"/>
    <x v="2"/>
  </r>
  <r>
    <x v="6"/>
    <n v="5769"/>
    <n v="2008"/>
    <n v="12"/>
    <x v="49"/>
    <n v="742.25"/>
    <n v="0"/>
    <n v="0"/>
    <n v="0"/>
    <n v="0"/>
    <n v="0"/>
    <s v=""/>
    <n v="0"/>
    <n v="270199.39982958301"/>
    <x v="2"/>
  </r>
  <r>
    <x v="6"/>
    <n v="5769"/>
    <n v="2009"/>
    <n v="1"/>
    <x v="50"/>
    <n v="697.49998000000005"/>
    <n v="0"/>
    <n v="0"/>
    <n v="0"/>
    <n v="0"/>
    <n v="0"/>
    <s v=""/>
    <n v="0"/>
    <n v="253655.42580070801"/>
    <x v="2"/>
  </r>
  <r>
    <x v="6"/>
    <n v="5769"/>
    <n v="2009"/>
    <n v="2"/>
    <x v="51"/>
    <n v="635.74999000000003"/>
    <n v="0"/>
    <n v="0"/>
    <n v="0"/>
    <n v="0"/>
    <n v="0"/>
    <s v=""/>
    <n v="0"/>
    <n v="226102.01316"/>
    <x v="2"/>
  </r>
  <r>
    <x v="6"/>
    <n v="5769"/>
    <n v="2009"/>
    <n v="3"/>
    <x v="52"/>
    <n v="224.58333999999999"/>
    <n v="0"/>
    <n v="0"/>
    <n v="0"/>
    <n v="0"/>
    <n v="0"/>
    <s v=""/>
    <n v="0"/>
    <n v="81674.350000000006"/>
    <x v="2"/>
  </r>
  <r>
    <x v="6"/>
    <n v="5769"/>
    <n v="2009"/>
    <n v="4"/>
    <x v="53"/>
    <n v="531.54999999999995"/>
    <n v="0"/>
    <n v="0"/>
    <n v="0"/>
    <n v="0"/>
    <n v="0"/>
    <s v=""/>
    <n v="0"/>
    <n v="104818.54777999999"/>
    <x v="2"/>
  </r>
  <r>
    <x v="6"/>
    <n v="5769"/>
    <n v="2009"/>
    <n v="5"/>
    <x v="54"/>
    <n v="706.99999000000003"/>
    <n v="0"/>
    <n v="0"/>
    <n v="0"/>
    <n v="0"/>
    <n v="0"/>
    <s v=""/>
    <n v="0"/>
    <n v="232334.514448239"/>
    <x v="2"/>
  </r>
  <r>
    <x v="6"/>
    <n v="5769"/>
    <n v="2009"/>
    <n v="6"/>
    <x v="55"/>
    <n v="690.73332000000005"/>
    <n v="0"/>
    <n v="0"/>
    <n v="0"/>
    <n v="0"/>
    <n v="0"/>
    <s v=""/>
    <n v="0"/>
    <n v="133204.20527124999"/>
    <x v="2"/>
  </r>
  <r>
    <x v="6"/>
    <n v="5769"/>
    <n v="2009"/>
    <n v="7"/>
    <x v="56"/>
    <n v="734.83333000000005"/>
    <n v="0"/>
    <n v="0"/>
    <n v="0"/>
    <n v="0"/>
    <n v="0"/>
    <s v=""/>
    <n v="0"/>
    <n v="205447.01868812501"/>
    <x v="2"/>
  </r>
  <r>
    <x v="6"/>
    <n v="5769"/>
    <n v="2009"/>
    <n v="8"/>
    <x v="57"/>
    <n v="703.82498999999996"/>
    <n v="0"/>
    <n v="0"/>
    <n v="0"/>
    <n v="0"/>
    <n v="0"/>
    <s v=""/>
    <n v="0"/>
    <n v="198473.65997874999"/>
    <x v="2"/>
  </r>
  <r>
    <x v="6"/>
    <n v="5769"/>
    <n v="2009"/>
    <n v="9"/>
    <x v="58"/>
    <n v="509.16667000000001"/>
    <n v="0"/>
    <n v="0"/>
    <n v="0"/>
    <n v="0"/>
    <n v="0"/>
    <s v=""/>
    <n v="0"/>
    <n v="171773.20486270799"/>
    <x v="2"/>
  </r>
  <r>
    <x v="6"/>
    <n v="5769"/>
    <n v="2009"/>
    <n v="10"/>
    <x v="59"/>
    <n v="682.25167999999996"/>
    <n v="0"/>
    <n v="0"/>
    <n v="0"/>
    <n v="0"/>
    <n v="0"/>
    <s v=""/>
    <n v="0"/>
    <n v="200847.230494093"/>
    <x v="2"/>
  </r>
  <r>
    <x v="6"/>
    <n v="5769"/>
    <n v="2009"/>
    <n v="11"/>
    <x v="60"/>
    <n v="705.58333000000005"/>
    <n v="0"/>
    <n v="0"/>
    <n v="0"/>
    <n v="0"/>
    <n v="0"/>
    <s v=""/>
    <n v="0"/>
    <n v="208933.86788113101"/>
    <x v="2"/>
  </r>
  <r>
    <x v="6"/>
    <n v="5769"/>
    <n v="2009"/>
    <n v="12"/>
    <x v="61"/>
    <n v="738.16665999999998"/>
    <n v="0"/>
    <n v="0"/>
    <n v="0"/>
    <n v="0"/>
    <n v="0"/>
    <s v=""/>
    <n v="0"/>
    <n v="225455.33740633001"/>
    <x v="2"/>
  </r>
  <r>
    <x v="6"/>
    <n v="5769"/>
    <n v="2010"/>
    <n v="1"/>
    <x v="62"/>
    <n v="735.66666999999995"/>
    <n v="0"/>
    <n v="0"/>
    <n v="0"/>
    <n v="0"/>
    <n v="0"/>
    <s v=""/>
    <n v="0"/>
    <n v="251554.767873089"/>
    <x v="2"/>
  </r>
  <r>
    <x v="6"/>
    <n v="5769"/>
    <n v="2010"/>
    <n v="2"/>
    <x v="63"/>
    <n v="595.41668000000004"/>
    <n v="0"/>
    <n v="0"/>
    <n v="0"/>
    <n v="0"/>
    <n v="0"/>
    <s v=""/>
    <n v="0"/>
    <n v="199239.179513098"/>
    <x v="2"/>
  </r>
  <r>
    <x v="6"/>
    <n v="5769"/>
    <n v="2010"/>
    <n v="3"/>
    <x v="64"/>
    <n v="571.00833999999998"/>
    <n v="0"/>
    <n v="0"/>
    <n v="0"/>
    <n v="0"/>
    <n v="0"/>
    <s v=""/>
    <n v="0"/>
    <n v="159955.29204669499"/>
    <x v="2"/>
  </r>
  <r>
    <x v="6"/>
    <n v="5769"/>
    <n v="2010"/>
    <n v="4"/>
    <x v="65"/>
    <n v="449.39168000000001"/>
    <n v="0"/>
    <n v="0"/>
    <n v="0"/>
    <n v="0"/>
    <n v="0"/>
    <s v=""/>
    <n v="0"/>
    <n v="143182.22737582901"/>
    <x v="2"/>
  </r>
  <r>
    <x v="6"/>
    <n v="5769"/>
    <n v="2010"/>
    <n v="5"/>
    <x v="66"/>
    <n v="744"/>
    <n v="0"/>
    <n v="0"/>
    <n v="0"/>
    <n v="0"/>
    <n v="0"/>
    <s v=""/>
    <n v="0"/>
    <n v="252211.73762833301"/>
    <x v="2"/>
  </r>
  <r>
    <x v="6"/>
    <n v="5769"/>
    <n v="2010"/>
    <n v="6"/>
    <x v="67"/>
    <n v="716.66666999999995"/>
    <n v="0"/>
    <n v="0"/>
    <n v="0"/>
    <n v="0"/>
    <n v="0"/>
    <s v=""/>
    <n v="0"/>
    <n v="217995.58273250001"/>
    <x v="2"/>
  </r>
  <r>
    <x v="6"/>
    <n v="5769"/>
    <n v="2010"/>
    <n v="7"/>
    <x v="68"/>
    <n v="743.16666999999995"/>
    <n v="0"/>
    <n v="0"/>
    <n v="0"/>
    <n v="0"/>
    <n v="0"/>
    <s v=""/>
    <n v="0"/>
    <n v="213816.939547708"/>
    <x v="2"/>
  </r>
  <r>
    <x v="6"/>
    <n v="5769"/>
    <n v="2010"/>
    <n v="8"/>
    <x v="69"/>
    <n v="447.14166"/>
    <n v="0"/>
    <n v="0"/>
    <n v="0"/>
    <n v="0"/>
    <n v="0"/>
    <s v=""/>
    <n v="0"/>
    <n v="120306.477755738"/>
    <x v="2"/>
  </r>
  <r>
    <x v="6"/>
    <n v="5769"/>
    <n v="2010"/>
    <n v="9"/>
    <x v="70"/>
    <n v="695.41666999999995"/>
    <n v="0"/>
    <n v="0"/>
    <n v="0"/>
    <n v="0"/>
    <n v="0"/>
    <s v=""/>
    <n v="0"/>
    <n v="163185.26024331499"/>
    <x v="2"/>
  </r>
  <r>
    <x v="6"/>
    <n v="5769"/>
    <n v="2010"/>
    <n v="10"/>
    <x v="71"/>
    <n v="717.58331999999996"/>
    <n v="0"/>
    <n v="0"/>
    <n v="0"/>
    <n v="0"/>
    <n v="0"/>
    <s v=""/>
    <n v="0"/>
    <n v="200667.24969863001"/>
    <x v="2"/>
  </r>
  <r>
    <x v="6"/>
    <n v="5769"/>
    <n v="2010"/>
    <n v="11"/>
    <x v="72"/>
    <n v="703.91666999999995"/>
    <n v="0"/>
    <n v="0"/>
    <n v="0"/>
    <n v="0"/>
    <n v="0"/>
    <s v=""/>
    <n v="0"/>
    <n v="188435.816567962"/>
    <x v="2"/>
  </r>
  <r>
    <x v="6"/>
    <n v="5769"/>
    <n v="2010"/>
    <n v="12"/>
    <x v="73"/>
    <n v="732.66666999999995"/>
    <n v="0"/>
    <n v="0"/>
    <n v="0"/>
    <n v="0"/>
    <n v="0"/>
    <s v=""/>
    <n v="0"/>
    <n v="193372.73180145799"/>
    <x v="2"/>
  </r>
  <r>
    <x v="6"/>
    <n v="5769"/>
    <n v="2011"/>
    <n v="1"/>
    <x v="74"/>
    <n v="744"/>
    <n v="0"/>
    <n v="0"/>
    <n v="0"/>
    <n v="0"/>
    <n v="0"/>
    <s v=""/>
    <n v="0"/>
    <n v="189041.11951854199"/>
    <x v="2"/>
  </r>
  <r>
    <x v="6"/>
    <n v="5769"/>
    <n v="2011"/>
    <n v="2"/>
    <x v="75"/>
    <n v="532.74998000000005"/>
    <n v="0"/>
    <n v="0"/>
    <n v="0"/>
    <n v="0"/>
    <n v="0"/>
    <s v=""/>
    <n v="0"/>
    <n v="139466.55643039299"/>
    <x v="2"/>
  </r>
  <r>
    <x v="6"/>
    <n v="5769"/>
    <n v="2011"/>
    <n v="3"/>
    <x v="76"/>
    <n v="728.00000999999997"/>
    <n v="0"/>
    <n v="0"/>
    <n v="0"/>
    <n v="0"/>
    <n v="0"/>
    <s v=""/>
    <n v="0"/>
    <n v="184592.18769070899"/>
    <x v="2"/>
  </r>
  <r>
    <x v="6"/>
    <n v="5769"/>
    <n v="2011"/>
    <n v="4"/>
    <x v="77"/>
    <n v="700.83334000000002"/>
    <n v="0"/>
    <n v="0"/>
    <n v="0"/>
    <n v="0"/>
    <n v="0"/>
    <s v=""/>
    <n v="0"/>
    <n v="188899.232610284"/>
    <x v="2"/>
  </r>
  <r>
    <x v="6"/>
    <n v="5769"/>
    <n v="2011"/>
    <n v="5"/>
    <x v="78"/>
    <n v="736.50000999999997"/>
    <n v="0"/>
    <n v="0"/>
    <n v="0"/>
    <n v="0"/>
    <n v="0"/>
    <s v=""/>
    <n v="0"/>
    <n v="191438.08354220199"/>
    <x v="2"/>
  </r>
  <r>
    <x v="6"/>
    <n v="5769"/>
    <n v="2011"/>
    <n v="6"/>
    <x v="79"/>
    <n v="461.67500999999999"/>
    <n v="0"/>
    <n v="0"/>
    <n v="0"/>
    <n v="0"/>
    <n v="0"/>
    <s v=""/>
    <n v="0"/>
    <n v="115810.712320017"/>
    <x v="2"/>
  </r>
  <r>
    <x v="6"/>
    <n v="5769"/>
    <n v="2011"/>
    <n v="7"/>
    <x v="80"/>
    <n v="242.50835000000001"/>
    <n v="0"/>
    <n v="0"/>
    <n v="0"/>
    <n v="0"/>
    <n v="0"/>
    <s v=""/>
    <n v="0"/>
    <n v="60234.670728750003"/>
    <x v="2"/>
  </r>
  <r>
    <x v="6"/>
    <n v="5769"/>
    <n v="2011"/>
    <n v="8"/>
    <x v="81"/>
    <n v="644.49167999999997"/>
    <n v="0"/>
    <n v="0"/>
    <n v="0"/>
    <n v="0"/>
    <n v="0"/>
    <s v=""/>
    <n v="0"/>
    <n v="161568.57176961299"/>
    <x v="2"/>
  </r>
  <r>
    <x v="6"/>
    <n v="5769"/>
    <n v="2011"/>
    <n v="9"/>
    <x v="82"/>
    <n v="688.5"/>
    <n v="0"/>
    <n v="0"/>
    <n v="0"/>
    <n v="0"/>
    <n v="0"/>
    <s v=""/>
    <n v="0"/>
    <n v="185636.23752596899"/>
    <x v="2"/>
  </r>
  <r>
    <x v="6"/>
    <n v="5769"/>
    <n v="2011"/>
    <n v="10"/>
    <x v="83"/>
    <n v="328.63333"/>
    <n v="0"/>
    <n v="0"/>
    <n v="0"/>
    <n v="0"/>
    <n v="0"/>
    <s v=""/>
    <n v="0"/>
    <n v="86121.098252083306"/>
    <x v="2"/>
  </r>
  <r>
    <x v="6"/>
    <n v="5769"/>
    <n v="2011"/>
    <n v="11"/>
    <x v="84"/>
    <n v="475.41665999999998"/>
    <n v="0"/>
    <n v="0"/>
    <n v="0"/>
    <n v="0"/>
    <n v="0"/>
    <s v=""/>
    <n v="0"/>
    <n v="111726.558581042"/>
    <x v="2"/>
  </r>
  <r>
    <x v="6"/>
    <n v="5769"/>
    <n v="2011"/>
    <n v="12"/>
    <x v="85"/>
    <n v="438.8"/>
    <n v="0"/>
    <n v="0"/>
    <n v="0"/>
    <n v="0"/>
    <n v="0"/>
    <s v=""/>
    <n v="0"/>
    <n v="106760.272394792"/>
    <x v="2"/>
  </r>
  <r>
    <x v="6"/>
    <n v="5769"/>
    <n v="2012"/>
    <n v="1"/>
    <x v="86"/>
    <n v="423.99999000000003"/>
    <n v="0"/>
    <n v="0"/>
    <n v="0"/>
    <n v="0"/>
    <n v="0"/>
    <s v=""/>
    <n v="0"/>
    <n v="96145.249733958306"/>
    <x v="2"/>
  </r>
  <r>
    <x v="6"/>
    <n v="5769"/>
    <n v="2012"/>
    <n v="2"/>
    <x v="87"/>
    <n v="690.91665999999998"/>
    <n v="0"/>
    <n v="0"/>
    <n v="0"/>
    <n v="0"/>
    <n v="0"/>
    <s v=""/>
    <n v="0"/>
    <n v="144177.13334875001"/>
    <x v="2"/>
  </r>
  <r>
    <x v="6"/>
    <n v="5769"/>
    <n v="2012"/>
    <n v="3"/>
    <x v="88"/>
    <n v="737.20834000000002"/>
    <n v="0"/>
    <n v="0"/>
    <n v="0"/>
    <n v="0"/>
    <n v="0"/>
    <s v=""/>
    <n v="0"/>
    <n v="144901.31179381299"/>
    <x v="2"/>
  </r>
  <r>
    <x v="6"/>
    <n v="5769"/>
    <n v="2012"/>
    <n v="4"/>
    <x v="89"/>
    <n v="720"/>
    <n v="0"/>
    <n v="0"/>
    <n v="0"/>
    <n v="0"/>
    <n v="0"/>
    <s v=""/>
    <n v="0"/>
    <n v="152913.710860625"/>
    <x v="2"/>
  </r>
  <r>
    <x v="6"/>
    <n v="5769"/>
    <n v="2012"/>
    <n v="5"/>
    <x v="90"/>
    <n v="732.33334000000002"/>
    <n v="0"/>
    <n v="0"/>
    <n v="0"/>
    <n v="0"/>
    <n v="0"/>
    <s v=""/>
    <n v="0"/>
    <n v="157759.44759291699"/>
    <x v="2"/>
  </r>
  <r>
    <x v="6"/>
    <n v="5769"/>
    <n v="2012"/>
    <n v="6"/>
    <x v="91"/>
    <n v="710.66666999999995"/>
    <n v="0"/>
    <n v="0"/>
    <n v="0"/>
    <n v="0"/>
    <n v="0"/>
    <s v=""/>
    <n v="0"/>
    <n v="147174.91634791699"/>
    <x v="2"/>
  </r>
  <r>
    <x v="6"/>
    <n v="5769"/>
    <n v="2012"/>
    <n v="7"/>
    <x v="92"/>
    <n v="740.33333000000005"/>
    <n v="0"/>
    <n v="0"/>
    <n v="0"/>
    <n v="0"/>
    <n v="0"/>
    <s v=""/>
    <n v="0"/>
    <n v="155141.689089375"/>
    <x v="2"/>
  </r>
  <r>
    <x v="6"/>
    <n v="5769"/>
    <n v="2012"/>
    <n v="8"/>
    <x v="93"/>
    <n v="309.12499000000003"/>
    <n v="0"/>
    <n v="0"/>
    <n v="0"/>
    <n v="0"/>
    <n v="0"/>
    <s v=""/>
    <n v="0"/>
    <n v="65973.970818958303"/>
    <x v="2"/>
  </r>
  <r>
    <x v="6"/>
    <n v="5769"/>
    <n v="2012"/>
    <n v="9"/>
    <x v="94"/>
    <n v="37.283340000000003"/>
    <n v="0"/>
    <n v="0"/>
    <n v="0"/>
    <n v="0"/>
    <n v="0"/>
    <s v=""/>
    <n v="0"/>
    <n v="8067.4513431249998"/>
    <x v="2"/>
  </r>
  <r>
    <x v="6"/>
    <n v="5769"/>
    <n v="2012"/>
    <n v="10"/>
    <x v="95"/>
    <n v="538.16665999999998"/>
    <n v="0"/>
    <n v="0"/>
    <n v="0"/>
    <n v="0"/>
    <n v="0"/>
    <s v=""/>
    <n v="0"/>
    <n v="118485.32129791701"/>
    <x v="2"/>
  </r>
  <r>
    <x v="6"/>
    <n v="5769"/>
    <n v="2012"/>
    <n v="11"/>
    <x v="96"/>
    <n v="720"/>
    <n v="0"/>
    <n v="0"/>
    <n v="0"/>
    <n v="0"/>
    <n v="0"/>
    <s v=""/>
    <n v="0"/>
    <n v="168629.702521667"/>
    <x v="2"/>
  </r>
  <r>
    <x v="6"/>
    <n v="5769"/>
    <n v="2012"/>
    <n v="12"/>
    <x v="97"/>
    <n v="697.83335"/>
    <n v="0"/>
    <n v="0"/>
    <n v="0"/>
    <n v="0"/>
    <n v="0"/>
    <s v=""/>
    <n v="0"/>
    <n v="154926.22132708301"/>
    <x v="2"/>
  </r>
  <r>
    <x v="6"/>
    <n v="5769"/>
    <n v="2013"/>
    <n v="1"/>
    <x v="98"/>
    <n v="732.25"/>
    <n v="0"/>
    <n v="0"/>
    <n v="0"/>
    <n v="0"/>
    <n v="0"/>
    <s v=""/>
    <n v="0"/>
    <n v="159939.68638887501"/>
    <x v="2"/>
  </r>
  <r>
    <x v="6"/>
    <n v="5769"/>
    <n v="2013"/>
    <n v="2"/>
    <x v="99"/>
    <n v="672"/>
    <n v="0"/>
    <n v="0"/>
    <n v="0"/>
    <n v="0"/>
    <n v="0"/>
    <s v=""/>
    <n v="0"/>
    <n v="147798.46481812501"/>
    <x v="2"/>
  </r>
  <r>
    <x v="6"/>
    <n v="5769"/>
    <n v="2013"/>
    <n v="3"/>
    <x v="100"/>
    <n v="400.46668"/>
    <n v="0"/>
    <n v="0"/>
    <n v="0"/>
    <n v="0"/>
    <n v="0"/>
    <s v=""/>
    <n v="0"/>
    <n v="85998.065148958296"/>
    <x v="2"/>
  </r>
  <r>
    <x v="6"/>
    <n v="5769"/>
    <n v="2013"/>
    <n v="4"/>
    <x v="101"/>
    <n v="561.16831999999999"/>
    <n v="0"/>
    <n v="0"/>
    <n v="0"/>
    <n v="0"/>
    <n v="0"/>
    <s v=""/>
    <n v="0"/>
    <n v="121656.595674375"/>
    <x v="2"/>
  </r>
  <r>
    <x v="6"/>
    <n v="5769"/>
    <n v="2013"/>
    <n v="5"/>
    <x v="102"/>
    <n v="681.3"/>
    <n v="0"/>
    <n v="0"/>
    <n v="0"/>
    <n v="0"/>
    <n v="0"/>
    <s v=""/>
    <n v="0"/>
    <n v="170935.46596812501"/>
    <x v="2"/>
  </r>
  <r>
    <x v="6"/>
    <n v="5769"/>
    <n v="2013"/>
    <n v="6"/>
    <x v="103"/>
    <n v="573.24999000000003"/>
    <n v="0"/>
    <n v="0"/>
    <n v="0"/>
    <n v="0"/>
    <n v="0"/>
    <s v=""/>
    <n v="0"/>
    <n v="138629.205471875"/>
    <x v="2"/>
  </r>
  <r>
    <x v="6"/>
    <n v="5769"/>
    <n v="2013"/>
    <n v="7"/>
    <x v="25"/>
    <n v="654.29166999999995"/>
    <n v="0"/>
    <n v="0"/>
    <n v="0"/>
    <n v="0"/>
    <n v="0"/>
    <s v=""/>
    <n v="0"/>
    <n v="131248.921444167"/>
    <x v="2"/>
  </r>
  <r>
    <x v="6"/>
    <n v="5769"/>
    <n v="2013"/>
    <n v="8"/>
    <x v="26"/>
    <n v="687.05"/>
    <n v="0"/>
    <n v="0"/>
    <n v="0"/>
    <n v="0"/>
    <n v="0"/>
    <s v=""/>
    <n v="0"/>
    <n v="185791.65160104199"/>
    <x v="2"/>
  </r>
  <r>
    <x v="6"/>
    <n v="5769"/>
    <n v="2013"/>
    <n v="9"/>
    <x v="27"/>
    <n v="608.92499999999995"/>
    <n v="0"/>
    <n v="0"/>
    <n v="0"/>
    <n v="0"/>
    <n v="0"/>
    <s v=""/>
    <n v="0"/>
    <n v="141322.974441042"/>
    <x v="2"/>
  </r>
  <r>
    <x v="6"/>
    <n v="5769"/>
    <n v="2013"/>
    <n v="10"/>
    <x v="28"/>
    <n v="654.41668000000004"/>
    <n v="0"/>
    <n v="0"/>
    <n v="0"/>
    <n v="0"/>
    <n v="0"/>
    <s v=""/>
    <n v="0"/>
    <n v="167622.051632708"/>
    <x v="2"/>
  </r>
  <r>
    <x v="6"/>
    <n v="5769"/>
    <n v="2013"/>
    <n v="11"/>
    <x v="29"/>
    <n v="681.66666999999995"/>
    <n v="0"/>
    <n v="0"/>
    <n v="0"/>
    <n v="0"/>
    <n v="0"/>
    <s v=""/>
    <n v="0"/>
    <n v="167983.460903542"/>
    <x v="2"/>
  </r>
  <r>
    <x v="6"/>
    <n v="5769"/>
    <n v="2013"/>
    <n v="12"/>
    <x v="30"/>
    <n v="676.25"/>
    <n v="0"/>
    <n v="0"/>
    <n v="0"/>
    <n v="0"/>
    <n v="0"/>
    <s v=""/>
    <n v="0"/>
    <n v="169674.00544562499"/>
    <x v="2"/>
  </r>
  <r>
    <x v="6"/>
    <n v="5769"/>
    <n v="2014"/>
    <n v="1"/>
    <x v="31"/>
    <n v="661.16666999999995"/>
    <n v="0"/>
    <n v="0"/>
    <n v="0"/>
    <n v="0"/>
    <n v="0"/>
    <s v=""/>
    <n v="0"/>
    <n v="139161.96420812499"/>
    <x v="2"/>
  </r>
  <r>
    <x v="6"/>
    <n v="5769"/>
    <n v="2014"/>
    <n v="2"/>
    <x v="32"/>
    <n v="580.60833000000002"/>
    <n v="0"/>
    <n v="0"/>
    <n v="0"/>
    <n v="0"/>
    <n v="0"/>
    <s v=""/>
    <n v="0"/>
    <n v="139875.10921729199"/>
    <x v="2"/>
  </r>
  <r>
    <x v="6"/>
    <n v="5769"/>
    <n v="2014"/>
    <n v="3"/>
    <x v="33"/>
    <n v="691.41666999999995"/>
    <n v="0"/>
    <n v="0"/>
    <n v="0"/>
    <n v="0"/>
    <n v="0"/>
    <s v=""/>
    <n v="0"/>
    <n v="168354.400344828"/>
    <x v="2"/>
  </r>
  <r>
    <x v="6"/>
    <n v="5769"/>
    <n v="2014"/>
    <n v="4"/>
    <x v="0"/>
    <n v="707.54166999999995"/>
    <n v="0"/>
    <n v="0"/>
    <n v="0"/>
    <n v="0"/>
    <n v="0"/>
    <s v=""/>
    <n v="0"/>
    <n v="170365.94510833299"/>
    <x v="2"/>
  </r>
  <r>
    <x v="6"/>
    <n v="5769"/>
    <n v="2014"/>
    <n v="5"/>
    <x v="1"/>
    <n v="606.33334000000002"/>
    <n v="0"/>
    <n v="0"/>
    <n v="0"/>
    <n v="0"/>
    <n v="0"/>
    <s v=""/>
    <n v="0"/>
    <n v="155443.53009770799"/>
    <x v="2"/>
  </r>
  <r>
    <x v="6"/>
    <n v="5769"/>
    <n v="2014"/>
    <n v="6"/>
    <x v="2"/>
    <n v="699.08333000000005"/>
    <n v="0"/>
    <n v="0"/>
    <n v="0"/>
    <n v="0"/>
    <n v="0"/>
    <s v=""/>
    <n v="0"/>
    <n v="170548.08144937499"/>
    <x v="2"/>
  </r>
  <r>
    <x v="6"/>
    <n v="5769"/>
    <n v="2014"/>
    <n v="7"/>
    <x v="3"/>
    <n v="742.33334000000002"/>
    <n v="0"/>
    <n v="0"/>
    <n v="0"/>
    <n v="0"/>
    <n v="0"/>
    <s v=""/>
    <n v="0"/>
    <n v="149633.537327292"/>
    <x v="2"/>
  </r>
  <r>
    <x v="6"/>
    <n v="5769"/>
    <n v="2014"/>
    <n v="8"/>
    <x v="4"/>
    <n v="606.37963999999999"/>
    <n v="0"/>
    <n v="0"/>
    <n v="0"/>
    <n v="0"/>
    <n v="0"/>
    <s v=""/>
    <n v="0"/>
    <n v="122109.851845"/>
    <x v="2"/>
  </r>
  <r>
    <x v="6"/>
    <n v="5769"/>
    <n v="2014"/>
    <n v="9"/>
    <x v="5"/>
    <n v="691.49999000000003"/>
    <n v="0"/>
    <n v="0"/>
    <n v="0"/>
    <n v="0"/>
    <n v="0"/>
    <s v=""/>
    <n v="0"/>
    <n v="160662.468334167"/>
    <x v="2"/>
  </r>
  <r>
    <x v="6"/>
    <n v="5769"/>
    <n v="2014"/>
    <n v="10"/>
    <x v="6"/>
    <n v="741.83334000000002"/>
    <n v="0"/>
    <n v="0"/>
    <n v="0"/>
    <n v="0"/>
    <n v="0"/>
    <s v=""/>
    <n v="0"/>
    <n v="166833.31391160801"/>
    <x v="2"/>
  </r>
  <r>
    <x v="6"/>
    <n v="5769"/>
    <n v="2014"/>
    <n v="11"/>
    <x v="7"/>
    <n v="660.55832999999996"/>
    <n v="0"/>
    <n v="0"/>
    <n v="0"/>
    <n v="0"/>
    <n v="0"/>
    <s v=""/>
    <n v="0"/>
    <n v="146406.90984041701"/>
    <x v="2"/>
  </r>
  <r>
    <x v="6"/>
    <n v="5769"/>
    <n v="2014"/>
    <n v="12"/>
    <x v="8"/>
    <n v="394.32499999999999"/>
    <n v="0"/>
    <n v="0"/>
    <n v="0"/>
    <n v="0"/>
    <n v="0"/>
    <s v=""/>
    <n v="0"/>
    <n v="95714.366779166696"/>
    <x v="2"/>
  </r>
  <r>
    <x v="6"/>
    <n v="5769"/>
    <n v="2015"/>
    <n v="1"/>
    <x v="9"/>
    <n v="702.63333999999998"/>
    <n v="0"/>
    <n v="0"/>
    <n v="0"/>
    <n v="0"/>
    <n v="0"/>
    <s v=""/>
    <n v="0"/>
    <n v="116851.662329792"/>
    <x v="2"/>
  </r>
  <r>
    <x v="6"/>
    <n v="5769"/>
    <n v="2015"/>
    <n v="2"/>
    <x v="10"/>
    <n v="583.88333"/>
    <n v="0"/>
    <n v="0"/>
    <n v="0"/>
    <n v="0"/>
    <n v="0"/>
    <s v=""/>
    <n v="0"/>
    <n v="122957.754829792"/>
    <x v="2"/>
  </r>
  <r>
    <x v="6"/>
    <n v="5769"/>
    <n v="2015"/>
    <n v="3"/>
    <x v="11"/>
    <n v="744"/>
    <n v="0"/>
    <n v="0"/>
    <n v="0"/>
    <n v="0"/>
    <n v="0"/>
    <s v=""/>
    <n v="0"/>
    <n v="127803.68713271699"/>
    <x v="2"/>
  </r>
  <r>
    <x v="6"/>
    <n v="5769"/>
    <n v="2015"/>
    <n v="4"/>
    <x v="12"/>
    <n v="707.66666999999995"/>
    <n v="0"/>
    <n v="0"/>
    <n v="0"/>
    <n v="0"/>
    <n v="0"/>
    <s v=""/>
    <n v="0"/>
    <n v="146997.138336042"/>
    <x v="2"/>
  </r>
  <r>
    <x v="6"/>
    <n v="5769"/>
    <n v="2015"/>
    <n v="5"/>
    <x v="13"/>
    <n v="744"/>
    <n v="0"/>
    <n v="0"/>
    <n v="0"/>
    <n v="0"/>
    <n v="0"/>
    <s v=""/>
    <n v="0"/>
    <n v="135253.88426374999"/>
    <x v="2"/>
  </r>
  <r>
    <x v="6"/>
    <n v="5769"/>
    <n v="2015"/>
    <n v="6"/>
    <x v="14"/>
    <n v="717.45"/>
    <n v="0"/>
    <n v="0"/>
    <n v="0"/>
    <n v="0"/>
    <n v="0"/>
    <s v=""/>
    <n v="0"/>
    <n v="146025.80091291701"/>
    <x v="2"/>
  </r>
  <r>
    <x v="6"/>
    <n v="5769"/>
    <n v="2015"/>
    <n v="7"/>
    <x v="15"/>
    <n v="739.67499999999995"/>
    <n v="0"/>
    <n v="0"/>
    <n v="0"/>
    <n v="0"/>
    <n v="0"/>
    <s v=""/>
    <n v="0"/>
    <n v="117659.770350208"/>
    <x v="2"/>
  </r>
  <r>
    <x v="6"/>
    <n v="5769"/>
    <n v="2015"/>
    <n v="8"/>
    <x v="16"/>
    <n v="606.19971999999996"/>
    <n v="0"/>
    <n v="0"/>
    <n v="0"/>
    <n v="0"/>
    <n v="0"/>
    <s v=""/>
    <n v="0"/>
    <n v="113141.00622416699"/>
    <x v="2"/>
  </r>
  <r>
    <x v="6"/>
    <n v="5769"/>
    <n v="2015"/>
    <n v="9"/>
    <x v="17"/>
    <n v="711.73375999999996"/>
    <n v="0"/>
    <n v="0"/>
    <n v="0"/>
    <n v="0"/>
    <n v="0"/>
    <s v=""/>
    <n v="0"/>
    <n v="128260.871127292"/>
    <x v="2"/>
  </r>
  <r>
    <x v="6"/>
    <n v="5769"/>
    <n v="2015"/>
    <n v="10"/>
    <x v="18"/>
    <n v="724.40764000000001"/>
    <n v="0"/>
    <n v="0"/>
    <n v="0"/>
    <n v="0"/>
    <n v="0"/>
    <s v=""/>
    <n v="0"/>
    <n v="134374.87116976699"/>
    <x v="2"/>
  </r>
  <r>
    <x v="6"/>
    <n v="5769"/>
    <n v="2015"/>
    <n v="11"/>
    <x v="19"/>
    <n v="642.93334000000004"/>
    <n v="0"/>
    <n v="0"/>
    <n v="0"/>
    <n v="0"/>
    <n v="0"/>
    <s v=""/>
    <n v="0"/>
    <n v="134602.94090354201"/>
    <x v="2"/>
  </r>
  <r>
    <x v="6"/>
    <n v="5769"/>
    <n v="2015"/>
    <n v="12"/>
    <x v="20"/>
    <n v="739.24999000000003"/>
    <n v="0"/>
    <n v="0"/>
    <n v="0"/>
    <n v="0"/>
    <n v="0"/>
    <s v=""/>
    <n v="0"/>
    <n v="145383.33062729199"/>
    <x v="2"/>
  </r>
  <r>
    <x v="6"/>
    <n v="5769"/>
    <n v="2016"/>
    <n v="1"/>
    <x v="21"/>
    <n v="721.41665999999998"/>
    <n v="0"/>
    <n v="0"/>
    <n v="0"/>
    <n v="0"/>
    <n v="0"/>
    <s v=""/>
    <n v="0"/>
    <n v="148394.55609979201"/>
    <x v="2"/>
  </r>
  <r>
    <x v="6"/>
    <n v="5769"/>
    <n v="2016"/>
    <n v="2"/>
    <x v="22"/>
    <n v="691.25001999999995"/>
    <n v="0"/>
    <n v="0"/>
    <n v="0"/>
    <n v="0"/>
    <n v="0"/>
    <s v=""/>
    <n v="0"/>
    <n v="164188.59713937499"/>
    <x v="2"/>
  </r>
  <r>
    <x v="6"/>
    <n v="5769"/>
    <n v="2016"/>
    <n v="3"/>
    <x v="23"/>
    <n v="743"/>
    <n v="0"/>
    <n v="0"/>
    <n v="0"/>
    <n v="0"/>
    <n v="0"/>
    <s v=""/>
    <n v="0"/>
    <n v="139810.59127062501"/>
    <x v="2"/>
  </r>
  <r>
    <x v="6"/>
    <n v="5769"/>
    <n v="2016"/>
    <n v="4"/>
    <x v="24"/>
    <n v="345.41667999999999"/>
    <n v="3400.61"/>
    <n v="538638.56000000006"/>
    <n v="2380.7800000000002"/>
    <n v="236.27880390721145"/>
    <n v="236.27880390721145"/>
    <n v="0.41180062234168602"/>
    <n v="0"/>
    <n v="20226.958790000001"/>
    <x v="2"/>
  </r>
  <r>
    <x v="6"/>
    <n v="5769"/>
    <n v="2016"/>
    <n v="5"/>
    <x v="34"/>
    <n v="732"/>
    <n v="9724.4"/>
    <n v="1534677.16"/>
    <n v="3949.9"/>
    <n v="318.83278688524587"/>
    <n v="318.83278688524587"/>
    <n v="0.28885573667390657"/>
    <n v="0"/>
    <n v="0"/>
    <x v="0"/>
  </r>
  <r>
    <x v="6"/>
    <n v="5769"/>
    <n v="2016"/>
    <n v="6"/>
    <x v="35"/>
    <n v="718.41666999999995"/>
    <n v="9121.48"/>
    <n v="1468557.12"/>
    <n v="2376.9299999999998"/>
    <n v="304.71943252653091"/>
    <n v="304.71943252653091"/>
    <n v="0.20671814624804646"/>
    <n v="0"/>
    <n v="0"/>
    <x v="0"/>
  </r>
  <r>
    <x v="6"/>
    <n v="5769"/>
    <n v="2016"/>
    <n v="7"/>
    <x v="36"/>
    <n v="668.64167999999995"/>
    <n v="9985.2900000000009"/>
    <n v="1602674.39"/>
    <n v="2453.71"/>
    <n v="358.40864721445433"/>
    <n v="358.40864721445433"/>
    <n v="0.1972594259988745"/>
    <n v="0"/>
    <n v="0"/>
    <x v="0"/>
  </r>
  <r>
    <x v="6"/>
    <n v="5769"/>
    <n v="2016"/>
    <n v="8"/>
    <x v="37"/>
    <n v="608.42499999999995"/>
    <n v="8928.9"/>
    <n v="1417278.51"/>
    <n v="2371.86"/>
    <n v="352.21037925792007"/>
    <n v="352.21037925792007"/>
    <n v="0.20988499888503076"/>
    <n v="0"/>
    <n v="0"/>
    <x v="0"/>
  </r>
  <r>
    <x v="6"/>
    <n v="5769"/>
    <n v="2016"/>
    <n v="9"/>
    <x v="38"/>
    <n v="0"/>
    <n v="0"/>
    <n v="0"/>
    <n v="0"/>
    <s v=""/>
    <s v=""/>
    <s v=""/>
    <n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ECFFDB-8253-493E-9EE2-B7D589B3C025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1:H146" firstHeaderRow="1" firstDataRow="2" firstDataCol="1" rowPageCount="1" colPageCount="1"/>
  <pivotFields count="18"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numFmtId="166" showAll="0">
      <items count="113">
        <item x="104"/>
        <item x="105"/>
        <item x="106"/>
        <item x="107"/>
        <item x="10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25"/>
        <item x="26"/>
        <item x="27"/>
        <item x="28"/>
        <item x="29"/>
        <item x="30"/>
        <item x="31"/>
        <item x="32"/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34"/>
        <item x="35"/>
        <item x="36"/>
        <item x="37"/>
        <item x="38"/>
        <item x="109"/>
        <item x="110"/>
        <item x="111"/>
        <item t="default"/>
      </items>
    </pivotField>
    <pivotField numFmtId="3" showAll="0"/>
    <pivotField dataField="1" numFmtId="3" showAll="0"/>
    <pivotField numFmtId="3" showAll="0"/>
    <pivotField numFmtId="3" showAll="0"/>
    <pivotField showAll="0"/>
    <pivotField showAll="0"/>
    <pivotField showAll="0"/>
    <pivotField numFmtId="3" showAll="0"/>
    <pivotField numFmtId="3" showAll="0"/>
    <pivotField axis="axisPage" multipleItemSelectionAllowed="1" showAll="0">
      <items count="4">
        <item h="1" x="2"/>
        <item h="1" x="1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3">
        <item sd="0" x="0"/>
        <item sd="0" x="1"/>
        <item x="2"/>
        <item x="3"/>
        <item x="4"/>
        <item x="5"/>
        <item x="6"/>
        <item x="7"/>
        <item x="8"/>
        <item x="9"/>
        <item x="10"/>
        <item sd="0" x="11"/>
        <item t="default"/>
      </items>
    </pivotField>
  </pivotFields>
  <rowFields count="2">
    <field x="17"/>
    <field x="15"/>
  </rowFields>
  <rowItems count="114">
    <i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6"/>
    </i>
    <i t="grand">
      <x/>
    </i>
  </colItems>
  <pageFields count="1">
    <pageField fld="14" hier="-1"/>
  </pageFields>
  <dataFields count="1">
    <dataField name="Sum of Oil (Sm3)" fld="6" baseField="0" baseItem="0" numFmtId="3"/>
  </dataFields>
  <chartFormats count="6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3401A-EB3D-4B19-8DC6-9FB3883382B1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:B10" firstHeaderRow="1" firstDataRow="1" firstDataCol="1"/>
  <pivotFields count="18">
    <pivotField axis="axisRow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6" showAll="0">
      <items count="113">
        <item x="104"/>
        <item x="105"/>
        <item x="106"/>
        <item x="107"/>
        <item x="10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25"/>
        <item x="26"/>
        <item x="27"/>
        <item x="28"/>
        <item x="29"/>
        <item x="30"/>
        <item x="31"/>
        <item x="32"/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34"/>
        <item x="35"/>
        <item x="36"/>
        <item x="37"/>
        <item x="38"/>
        <item x="109"/>
        <item x="110"/>
        <item x="111"/>
        <item t="default"/>
      </items>
    </pivotField>
    <pivotField numFmtId="3" showAll="0"/>
    <pivotField dataField="1" numFmtId="3" showAll="0"/>
    <pivotField numFmtId="3" showAll="0"/>
    <pivotField numFmtId="3" showAll="0"/>
    <pivotField showAll="0"/>
    <pivotField showAll="0"/>
    <pivotField showAll="0"/>
    <pivotField numFmtId="3" showAll="0"/>
    <pivotField numFmtId="3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0"/>
  </rowFields>
  <rowItems count="8">
    <i>
      <x v="2"/>
    </i>
    <i>
      <x v="3"/>
    </i>
    <i>
      <x v="1"/>
    </i>
    <i>
      <x/>
    </i>
    <i>
      <x v="4"/>
    </i>
    <i>
      <x v="6"/>
    </i>
    <i>
      <x v="5"/>
    </i>
    <i t="grand">
      <x/>
    </i>
  </rowItems>
  <colItems count="1">
    <i/>
  </colItems>
  <dataFields count="1">
    <dataField name="Sum of Oil (Sm3)" fld="6" baseField="0" baseItem="0" numFmtId="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0314B8-90C4-4210-8370-6C9B4F96A4F8}" name="PivotTable9" cacheId="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9">
  <location ref="A298:H413" firstHeaderRow="1" firstDataRow="2" firstDataCol="1" rowPageCount="1" colPageCount="1"/>
  <pivotFields count="18"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numFmtId="166" showAll="0">
      <items count="113">
        <item x="104"/>
        <item x="105"/>
        <item x="106"/>
        <item x="107"/>
        <item x="10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25"/>
        <item x="26"/>
        <item x="27"/>
        <item x="28"/>
        <item x="29"/>
        <item x="30"/>
        <item x="31"/>
        <item x="32"/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34"/>
        <item x="35"/>
        <item x="36"/>
        <item x="37"/>
        <item x="38"/>
        <item x="109"/>
        <item x="110"/>
        <item x="111"/>
        <item t="default"/>
      </items>
    </pivotField>
    <pivotField numFmtId="3" showAll="0"/>
    <pivotField numFmtId="3" showAll="0"/>
    <pivotField numFmtId="3" showAll="0"/>
    <pivotField numFmtId="3" showAll="0"/>
    <pivotField showAll="0"/>
    <pivotField showAll="0"/>
    <pivotField dataField="1" showAll="0"/>
    <pivotField numFmtId="3" showAll="0"/>
    <pivotField numFmtId="3" showAll="0"/>
    <pivotField axis="axisPage" multipleItemSelectionAllowed="1" showAll="0">
      <items count="4">
        <item h="1" x="2"/>
        <item h="1" x="1"/>
        <item x="0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17"/>
    <field x="15"/>
  </rowFields>
  <rowItems count="114">
    <i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6"/>
    </i>
    <i t="grand">
      <x/>
    </i>
  </colItems>
  <pageFields count="1">
    <pageField fld="14" hier="-1"/>
  </pageFields>
  <dataFields count="1">
    <dataField name="Average of Water Cut" fld="11" subtotal="average" baseField="17" baseItem="2" numFmtId="167"/>
  </dataFields>
  <chartFormats count="6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2D19CF-98E0-41B5-B631-857A4FB3D44E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60:H275" firstHeaderRow="1" firstDataRow="2" firstDataCol="1" rowPageCount="1" colPageCount="1"/>
  <pivotFields count="18"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numFmtId="166" showAll="0">
      <items count="113">
        <item x="104"/>
        <item x="105"/>
        <item x="106"/>
        <item x="107"/>
        <item x="10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25"/>
        <item x="26"/>
        <item x="27"/>
        <item x="28"/>
        <item x="29"/>
        <item x="30"/>
        <item x="31"/>
        <item x="32"/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34"/>
        <item x="35"/>
        <item x="36"/>
        <item x="37"/>
        <item x="38"/>
        <item x="109"/>
        <item x="110"/>
        <item x="111"/>
        <item t="default"/>
      </items>
    </pivotField>
    <pivotField numFmtId="3" showAll="0"/>
    <pivotField numFmtId="3" showAll="0"/>
    <pivotField numFmtId="3" showAll="0"/>
    <pivotField numFmtId="3" showAll="0"/>
    <pivotField showAll="0"/>
    <pivotField dataField="1" showAll="0"/>
    <pivotField showAll="0"/>
    <pivotField numFmtId="3" showAll="0"/>
    <pivotField numFmtId="3" showAll="0"/>
    <pivotField axis="axisPage" multipleItemSelectionAllowed="1" showAll="0">
      <items count="4">
        <item h="1" x="2"/>
        <item h="1" x="1"/>
        <item x="0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17"/>
    <field x="15"/>
  </rowFields>
  <rowItems count="114">
    <i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6"/>
    </i>
    <i t="grand">
      <x/>
    </i>
  </colItems>
  <pageFields count="1">
    <pageField fld="14" hier="-1"/>
  </pageFields>
  <dataFields count="1">
    <dataField name="Average of Oil Rate (Sm3/d)" fld="10" subtotal="average" baseField="14" baseItem="8"/>
  </dataFields>
  <chartFormats count="12">
    <chartFormat chart="3" format="7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3" format="10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3" format="12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770AA6-1442-4413-8067-AEC6008796E3}" name="Table1" displayName="Table1" ref="A1:F8" totalsRowShown="0" headerRowDxfId="7" dataDxfId="6">
  <autoFilter ref="A1:F8" xr:uid="{76770AA6-1442-4413-8067-AEC6008796E3}"/>
  <tableColumns count="6">
    <tableColumn id="1" xr3:uid="{99885EF8-0B78-4854-ADA2-5249CB6B73A0}" name="Well" dataDxfId="5"/>
    <tableColumn id="2" xr3:uid="{0CA033FB-8120-45EF-B5B3-E77BB1E813C3}" name="Total Oil" dataDxfId="4" dataCellStyle="Comma">
      <calculatedColumnFormula>SUMIF('Clean Monthly Production Data '!$A$2:$A$527,'Well Summary'!A2,'Clean Monthly Production Data '!$G$2:$G$527)</calculatedColumnFormula>
    </tableColumn>
    <tableColumn id="3" xr3:uid="{C9E09EA1-32F1-45CB-848B-452975677B0D}" name="Peak Oil Rate" dataDxfId="3">
      <calculatedColumnFormula>+_xlfn.MAXIFS('Clean Monthly Production Data '!$K$2:$K$527,'Clean Monthly Production Data '!$A$2:$A$527,'Well Summary'!A2)</calculatedColumnFormula>
    </tableColumn>
    <tableColumn id="4" xr3:uid="{BF82DEA0-A475-4272-BBFA-753806FC81A9}" name="Peak Water Cut" dataDxfId="2" dataCellStyle="Percent">
      <calculatedColumnFormula>+_xlfn.MAXIFS('Clean Monthly Production Data '!$L$2:$L$527,'Clean Monthly Production Data '!$A$2:$A$527,A2)</calculatedColumnFormula>
    </tableColumn>
    <tableColumn id="5" xr3:uid="{04EA8353-89A8-4934-B8E2-90A2818CC849}" name="Avg On-Stream Eff" dataDxfId="1" dataCellStyle="Percent">
      <calculatedColumnFormula>AVERAGEIFS('Clean Monthly Production Data '!$P$2:$P$527,'Clean Monthly Production Data '!$A$2:$A$527,'Well Summary'!A2)</calculatedColumnFormula>
    </tableColumn>
    <tableColumn id="6" xr3:uid="{A8133726-B2BB-4F09-A8E3-18E28CCF1C2A}" name="Role" dataDxfId="0">
      <calculatedColumnFormula>+IF(Table1[[#This Row],[Total Oil]]&gt;0, "Producer",IF(SUMIF('Clean Monthly Production Data '!$A$2:$A$527,Table1[[#This Row],[Well]],'Clean Monthly Production Data '!$N$2:$N$527)&gt;0,"Injector","No production"))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426DC-5C0C-491F-A8B6-CBB7437474DA}">
  <dimension ref="B2:Q5"/>
  <sheetViews>
    <sheetView showGridLines="0" tabSelected="1" zoomScale="55" zoomScaleNormal="55" workbookViewId="0">
      <selection activeCell="E57" sqref="E57"/>
    </sheetView>
  </sheetViews>
  <sheetFormatPr defaultRowHeight="12.75" x14ac:dyDescent="0.35"/>
  <sheetData>
    <row r="2" spans="2:17" ht="30" x14ac:dyDescent="0.35">
      <c r="B2" s="23" t="s">
        <v>73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2:17" x14ac:dyDescent="0.35">
      <c r="B3" s="24" t="s">
        <v>74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2:17" x14ac:dyDescent="0.35">
      <c r="B4" s="25" t="s">
        <v>75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2:17" x14ac:dyDescent="0.35">
      <c r="B5" s="22"/>
    </row>
  </sheetData>
  <mergeCells count="3">
    <mergeCell ref="B2:Q2"/>
    <mergeCell ref="B3:Q3"/>
    <mergeCell ref="B4:Q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BF1F8-FD5F-45BC-BC35-20CA30421F4C}">
  <dimension ref="A1:F8"/>
  <sheetViews>
    <sheetView showGridLines="0" zoomScale="115" zoomScaleNormal="115" workbookViewId="0">
      <selection activeCell="F15" sqref="F15"/>
    </sheetView>
  </sheetViews>
  <sheetFormatPr defaultRowHeight="12.75" x14ac:dyDescent="0.35"/>
  <cols>
    <col min="1" max="6" width="11.796875" customWidth="1"/>
  </cols>
  <sheetData>
    <row r="1" spans="1:6" s="20" customFormat="1" ht="21.4" customHeight="1" x14ac:dyDescent="0.35">
      <c r="A1" s="19" t="s">
        <v>68</v>
      </c>
      <c r="B1" s="19" t="s">
        <v>69</v>
      </c>
      <c r="C1" s="19" t="s">
        <v>70</v>
      </c>
      <c r="D1" s="19" t="s">
        <v>71</v>
      </c>
      <c r="E1" s="19" t="s">
        <v>72</v>
      </c>
      <c r="F1" s="19" t="s">
        <v>20</v>
      </c>
    </row>
    <row r="2" spans="1:6" x14ac:dyDescent="0.35">
      <c r="A2" s="16" t="s">
        <v>3</v>
      </c>
      <c r="B2" s="17">
        <f>SUMIF('Clean Monthly Production Data '!$A$2:$A$527,'Well Summary'!A2,'Clean Monthly Production Data '!$G$2:$G$527)</f>
        <v>4579609.549999998</v>
      </c>
      <c r="C2" s="21">
        <f>+_xlfn.MAXIFS('Clean Monthly Production Data '!$K$2:$K$527,'Clean Monthly Production Data '!$A$2:$A$527,'Well Summary'!A2)</f>
        <v>5369.021612903226</v>
      </c>
      <c r="D2" s="18">
        <f>+_xlfn.MAXIFS('Clean Monthly Production Data '!$L$2:$L$527,'Clean Monthly Production Data '!$A$2:$A$527,A2)</f>
        <v>0.96721935099418621</v>
      </c>
      <c r="E2" s="18">
        <f>AVERAGEIFS('Clean Monthly Production Data '!$P$2:$P$527,'Clean Monthly Production Data '!$A$2:$A$527,'Well Summary'!A2)</f>
        <v>0.87559166948062916</v>
      </c>
      <c r="F2" s="16" t="str">
        <f>+IF(Table1[[#This Row],[Total Oil]]&gt;0, "Producer",IF(SUMIF('Clean Monthly Production Data '!$A$2:$A$527,Table1[[#This Row],[Well]],'Clean Monthly Production Data '!$N$2:$N$527)&gt;0,"Injector","No production"))</f>
        <v>Producer</v>
      </c>
    </row>
    <row r="3" spans="1:6" x14ac:dyDescent="0.35">
      <c r="A3" s="16" t="s">
        <v>4</v>
      </c>
      <c r="B3" s="17">
        <f>SUMIF('Clean Monthly Production Data '!$A$2:$A$527,'Well Summary'!A3,'Clean Monthly Production Data '!$G$2:$G$527)</f>
        <v>3942233.39</v>
      </c>
      <c r="C3" s="21">
        <f>+_xlfn.MAXIFS('Clean Monthly Production Data '!$K$2:$K$527,'Clean Monthly Production Data '!$A$2:$A$527,'Well Summary'!A3)</f>
        <v>4616.3090101010102</v>
      </c>
      <c r="D3" s="18">
        <f>+_xlfn.MAXIFS('Clean Monthly Production Data '!$L$2:$L$527,'Clean Monthly Production Data '!$A$2:$A$527,A3)</f>
        <v>0.96725411415950946</v>
      </c>
      <c r="E3" s="18">
        <f>AVERAGEIFS('Clean Monthly Production Data '!$P$2:$P$527,'Clean Monthly Production Data '!$A$2:$A$527,'Well Summary'!A3)</f>
        <v>0.88621190213841949</v>
      </c>
      <c r="F3" s="16" t="str">
        <f>+IF(Table1[[#This Row],[Total Oil]]&gt;0, "Producer",IF(SUMIF('Clean Monthly Production Data '!$A$2:$A$527,Table1[[#This Row],[Well]],'Clean Monthly Production Data '!$N$2:$N$527)&gt;0,"Injector","No production"))</f>
        <v>Producer</v>
      </c>
    </row>
    <row r="4" spans="1:6" x14ac:dyDescent="0.35">
      <c r="A4" s="16" t="s">
        <v>2</v>
      </c>
      <c r="B4" s="17">
        <f>SUMIF('Clean Monthly Production Data '!$A$2:$A$527,'Well Summary'!A4,'Clean Monthly Production Data '!$G$2:$G$527)</f>
        <v>1147849.0999999999</v>
      </c>
      <c r="C4" s="21">
        <f>+_xlfn.MAXIFS('Clean Monthly Production Data '!$K$2:$K$527,'Clean Monthly Production Data '!$A$2:$A$527,'Well Summary'!A4)</f>
        <v>1818.5253333333335</v>
      </c>
      <c r="D4" s="18">
        <f>+_xlfn.MAXIFS('Clean Monthly Production Data '!$L$2:$L$527,'Clean Monthly Production Data '!$A$2:$A$527,A4)</f>
        <v>0.85750550681453641</v>
      </c>
      <c r="E4" s="18">
        <f>AVERAGEIFS('Clean Monthly Production Data '!$P$2:$P$527,'Clean Monthly Production Data '!$A$2:$A$527,'Well Summary'!A4)</f>
        <v>0.91216295347131393</v>
      </c>
      <c r="F4" s="16" t="str">
        <f>+IF(Table1[[#This Row],[Total Oil]]&gt;0, "Producer",IF(SUMIF('Clean Monthly Production Data '!$A$2:$A$527,Table1[[#This Row],[Well]],'Clean Monthly Production Data '!$N$2:$N$527)&gt;0,"Injector","No production"))</f>
        <v>Producer</v>
      </c>
    </row>
    <row r="5" spans="1:6" x14ac:dyDescent="0.35">
      <c r="A5" s="16" t="s">
        <v>1</v>
      </c>
      <c r="B5" s="17">
        <f>SUMIF('Clean Monthly Production Data '!$A$2:$A$527,'Well Summary'!A5,'Clean Monthly Production Data '!$G$2:$G$527)</f>
        <v>177709.32999999996</v>
      </c>
      <c r="C5" s="21">
        <f>+_xlfn.MAXIFS('Clean Monthly Production Data '!$K$2:$K$527,'Clean Monthly Production Data '!$A$2:$A$527,'Well Summary'!A5)</f>
        <v>1175.4693626373626</v>
      </c>
      <c r="D5" s="18">
        <f>+_xlfn.MAXIFS('Clean Monthly Production Data '!$L$2:$L$527,'Clean Monthly Production Data '!$A$2:$A$527,A5)</f>
        <v>0.8248037927524956</v>
      </c>
      <c r="E5" s="18">
        <f>AVERAGEIFS('Clean Monthly Production Data '!$P$2:$P$527,'Clean Monthly Production Data '!$A$2:$A$527,'Well Summary'!A5)</f>
        <v>0.54769476864933697</v>
      </c>
      <c r="F5" s="16" t="str">
        <f>+IF(Table1[[#This Row],[Total Oil]]&gt;0, "Producer",IF(SUMIF('Clean Monthly Production Data '!$A$2:$A$527,Table1[[#This Row],[Well]],'Clean Monthly Production Data '!$N$2:$N$527)&gt;0,"Injector","No production"))</f>
        <v>Producer</v>
      </c>
    </row>
    <row r="6" spans="1:6" x14ac:dyDescent="0.35">
      <c r="A6" s="16" t="s">
        <v>5</v>
      </c>
      <c r="B6" s="17">
        <f>SUMIF('Clean Monthly Production Data '!$A$2:$A$527,'Well Summary'!A6,'Clean Monthly Production Data '!$G$2:$G$527)</f>
        <v>148518.56</v>
      </c>
      <c r="C6" s="21">
        <f>+_xlfn.MAXIFS('Clean Monthly Production Data '!$K$2:$K$527,'Clean Monthly Production Data '!$A$2:$A$527,'Well Summary'!A6)</f>
        <v>400.6603147765598</v>
      </c>
      <c r="D6" s="18">
        <f>+_xlfn.MAXIFS('Clean Monthly Production Data '!$L$2:$L$527,'Clean Monthly Production Data '!$A$2:$A$527,A6)</f>
        <v>0.60879268070938664</v>
      </c>
      <c r="E6" s="18">
        <f>AVERAGEIFS('Clean Monthly Production Data '!$P$2:$P$527,'Clean Monthly Production Data '!$A$2:$A$527,'Well Summary'!A6)</f>
        <v>0.81633460323577489</v>
      </c>
      <c r="F6" s="16" t="str">
        <f>+IF(Table1[[#This Row],[Total Oil]]&gt;0, "Producer",IF(SUMIF('Clean Monthly Production Data '!$A$2:$A$527,Table1[[#This Row],[Well]],'Clean Monthly Production Data '!$N$2:$N$527)&gt;0,"Injector","No production"))</f>
        <v>Producer</v>
      </c>
    </row>
    <row r="7" spans="1:6" x14ac:dyDescent="0.35">
      <c r="A7" s="16" t="s">
        <v>7</v>
      </c>
      <c r="B7" s="17">
        <f>SUMIF('Clean Monthly Production Data '!$A$2:$A$527,'Well Summary'!A7,'Clean Monthly Production Data '!$G$2:$G$527)</f>
        <v>41160.68</v>
      </c>
      <c r="C7" s="21">
        <f>+_xlfn.MAXIFS('Clean Monthly Production Data '!$K$2:$K$527,'Clean Monthly Production Data '!$A$2:$A$527,'Well Summary'!A7)</f>
        <v>358.40864721445433</v>
      </c>
      <c r="D7" s="18">
        <f>+_xlfn.MAXIFS('Clean Monthly Production Data '!$L$2:$L$527,'Clean Monthly Production Data '!$A$2:$A$527,A7)</f>
        <v>0.41180062234168602</v>
      </c>
      <c r="E7" s="18">
        <f>AVERAGEIFS('Clean Monthly Production Data '!$P$2:$P$527,'Clean Monthly Production Data '!$A$2:$A$527,'Well Summary'!A7)</f>
        <v>0.85871214679009522</v>
      </c>
      <c r="F7" s="16" t="str">
        <f>+IF(Table1[[#This Row],[Total Oil]]&gt;0, "Producer",IF(SUMIF('Clean Monthly Production Data '!$A$2:$A$527,Table1[[#This Row],[Well]],'Clean Monthly Production Data '!$N$2:$N$527)&gt;0,"Injector","No production"))</f>
        <v>Producer</v>
      </c>
    </row>
    <row r="8" spans="1:6" x14ac:dyDescent="0.35">
      <c r="A8" s="16" t="s">
        <v>6</v>
      </c>
      <c r="B8" s="17">
        <f>SUMIF('Clean Monthly Production Data '!$A$2:$A$527,'Well Summary'!A8,'Clean Monthly Production Data '!$G$2:$G$527)</f>
        <v>0</v>
      </c>
      <c r="C8" s="21">
        <f>+_xlfn.MAXIFS('Clean Monthly Production Data '!$K$2:$K$527,'Clean Monthly Production Data '!$A$2:$A$527,'Well Summary'!A8)</f>
        <v>0</v>
      </c>
      <c r="D8" s="18">
        <f>+_xlfn.MAXIFS('Clean Monthly Production Data '!$L$2:$L$527,'Clean Monthly Production Data '!$A$2:$A$527,A8)</f>
        <v>0</v>
      </c>
      <c r="E8" s="18">
        <f>AVERAGEIFS('Clean Monthly Production Data '!$P$2:$P$527,'Clean Monthly Production Data '!$A$2:$A$527,'Well Summary'!A8)</f>
        <v>0.86258940490687674</v>
      </c>
      <c r="F8" s="16" t="str">
        <f>+IF(Table1[[#This Row],[Total Oil]]&gt;0, "Producer",IF(SUMIF('Clean Monthly Production Data '!$A$2:$A$527,Table1[[#This Row],[Well]],'Clean Monthly Production Data '!$N$2:$N$527)&gt;0,"Injector","No production"))</f>
        <v>Injector</v>
      </c>
    </row>
  </sheetData>
  <conditionalFormatting sqref="D2:D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A9460-457B-4D22-B183-BA64F55031C3}">
  <dimension ref="A1:P527"/>
  <sheetViews>
    <sheetView zoomScale="85" zoomScaleNormal="85" workbookViewId="0">
      <pane xSplit="1" ySplit="1" topLeftCell="B293" activePane="bottomRight" state="frozen"/>
      <selection pane="topRight" activeCell="B1" sqref="B1"/>
      <selection pane="bottomLeft" activeCell="A3" sqref="A3"/>
      <selection pane="bottomRight" activeCell="S314" sqref="S314"/>
    </sheetView>
  </sheetViews>
  <sheetFormatPr defaultRowHeight="12.75" x14ac:dyDescent="0.35"/>
  <cols>
    <col min="1" max="1" width="11.53125" customWidth="1"/>
    <col min="2" max="2" width="7.46484375" customWidth="1"/>
    <col min="5" max="5" width="10.1328125" bestFit="1" customWidth="1"/>
    <col min="6" max="6" width="8.3984375" customWidth="1"/>
    <col min="7" max="7" width="12.1328125" bestFit="1" customWidth="1"/>
    <col min="8" max="8" width="13.1328125" bestFit="1" customWidth="1"/>
    <col min="9" max="9" width="14.19921875" bestFit="1" customWidth="1"/>
    <col min="10" max="10" width="8.33203125" customWidth="1"/>
    <col min="11" max="12" width="10.46484375" customWidth="1"/>
    <col min="13" max="13" width="6.46484375" customWidth="1"/>
    <col min="14" max="14" width="9.3984375" bestFit="1" customWidth="1"/>
    <col min="15" max="15" width="9.9296875" customWidth="1"/>
  </cols>
  <sheetData>
    <row r="1" spans="1:16" s="10" customFormat="1" ht="28.9" customHeight="1" x14ac:dyDescent="0.35">
      <c r="A1" s="8" t="s">
        <v>8</v>
      </c>
      <c r="B1" s="8" t="s">
        <v>66</v>
      </c>
      <c r="C1" s="8" t="s">
        <v>10</v>
      </c>
      <c r="D1" s="8" t="s">
        <v>11</v>
      </c>
      <c r="E1" s="8" t="s">
        <v>37</v>
      </c>
      <c r="F1" s="8" t="s">
        <v>35</v>
      </c>
      <c r="G1" s="12" t="s">
        <v>30</v>
      </c>
      <c r="H1" s="8" t="s">
        <v>31</v>
      </c>
      <c r="I1" s="8" t="s">
        <v>32</v>
      </c>
      <c r="J1" s="11" t="s">
        <v>61</v>
      </c>
      <c r="K1" s="12" t="s">
        <v>62</v>
      </c>
      <c r="L1" s="12" t="s">
        <v>64</v>
      </c>
      <c r="M1" s="8" t="s">
        <v>33</v>
      </c>
      <c r="N1" s="8" t="s">
        <v>34</v>
      </c>
      <c r="O1" s="9" t="s">
        <v>59</v>
      </c>
      <c r="P1" s="12" t="s">
        <v>67</v>
      </c>
    </row>
    <row r="2" spans="1:16" x14ac:dyDescent="0.35">
      <c r="A2" t="s">
        <v>1</v>
      </c>
      <c r="B2">
        <v>7405</v>
      </c>
      <c r="C2">
        <v>2014</v>
      </c>
      <c r="D2">
        <v>4</v>
      </c>
      <c r="E2" s="6">
        <f>DATE(C2, D2, 1)</f>
        <v>41730</v>
      </c>
      <c r="F2" s="1">
        <v>227.5</v>
      </c>
      <c r="G2" s="1">
        <v>11142.47</v>
      </c>
      <c r="H2" s="1">
        <v>1597936.65</v>
      </c>
      <c r="I2" s="1">
        <v>0</v>
      </c>
      <c r="J2" s="7">
        <f>IF(F2&gt;0,G2/(F2/24),"")</f>
        <v>1175.4693626373626</v>
      </c>
      <c r="K2" s="1">
        <f>+J2</f>
        <v>1175.4693626373626</v>
      </c>
      <c r="L2" s="13">
        <f>+IF((G2+I2)&gt;0,I2/(G2+I2),"")</f>
        <v>0</v>
      </c>
      <c r="M2" s="1">
        <v>0</v>
      </c>
      <c r="N2" s="1">
        <v>0</v>
      </c>
      <c r="O2" t="str">
        <f>IF(F2&gt;0,IF(N(N2)&gt;0,"Injector",IF(N(G2)&gt;0,"Producer","Inactive")),"No production")</f>
        <v>Producer</v>
      </c>
      <c r="P2" s="15">
        <f>+IF(F2&gt;0,F2/(DAY(EOMONTH(E2,0))*24),"")</f>
        <v>0.31597222222222221</v>
      </c>
    </row>
    <row r="3" spans="1:16" x14ac:dyDescent="0.35">
      <c r="A3" t="s">
        <v>1</v>
      </c>
      <c r="B3">
        <v>7405</v>
      </c>
      <c r="C3">
        <v>2014</v>
      </c>
      <c r="D3">
        <v>5</v>
      </c>
      <c r="E3" s="6">
        <f t="shared" ref="E3:E66" si="0">DATE(C3, D3, 1)</f>
        <v>41760</v>
      </c>
      <c r="F3" s="1">
        <v>733.83334000000002</v>
      </c>
      <c r="G3" s="1">
        <v>24901.95</v>
      </c>
      <c r="H3" s="1">
        <v>3496229.65</v>
      </c>
      <c r="I3" s="1">
        <v>783.48</v>
      </c>
      <c r="J3" s="7">
        <f t="shared" ref="J3:J66" si="1">IF(F3&gt;0,G3/(F3/24),"")</f>
        <v>814.41761694828415</v>
      </c>
      <c r="K3" s="1">
        <f t="shared" ref="K3:K66" si="2">+J3</f>
        <v>814.41761694828415</v>
      </c>
      <c r="L3" s="13">
        <f t="shared" ref="L3:L66" si="3">+IF((G3+I3)&gt;0,I3/(G3+I3),"")</f>
        <v>3.0502895999794437E-2</v>
      </c>
      <c r="M3" s="1">
        <v>0</v>
      </c>
      <c r="N3" s="1">
        <v>0</v>
      </c>
      <c r="O3" t="str">
        <f t="shared" ref="O3:O66" si="4">IF(F3&gt;0,IF(N(N3)&gt;0,"Injector",IF(N(G3)&gt;0,"Producer","Inactive")),"No production")</f>
        <v>Producer</v>
      </c>
      <c r="P3" s="15">
        <f t="shared" ref="P3:P66" si="5">+IF(F3&gt;0,F3/(DAY(EOMONTH(E3,0))*24),"")</f>
        <v>0.98633513440860221</v>
      </c>
    </row>
    <row r="4" spans="1:16" x14ac:dyDescent="0.35">
      <c r="A4" t="s">
        <v>1</v>
      </c>
      <c r="B4">
        <v>7405</v>
      </c>
      <c r="C4">
        <v>2014</v>
      </c>
      <c r="D4">
        <v>6</v>
      </c>
      <c r="E4" s="6">
        <f t="shared" si="0"/>
        <v>41791</v>
      </c>
      <c r="F4" s="1">
        <v>705.91665999999998</v>
      </c>
      <c r="G4" s="1">
        <v>19617.759999999998</v>
      </c>
      <c r="H4" s="1">
        <v>2886661.69</v>
      </c>
      <c r="I4" s="1">
        <v>2068.48</v>
      </c>
      <c r="J4" s="7">
        <f t="shared" si="1"/>
        <v>666.9714240771707</v>
      </c>
      <c r="K4" s="1">
        <f t="shared" si="2"/>
        <v>666.9714240771707</v>
      </c>
      <c r="L4" s="13">
        <f t="shared" si="3"/>
        <v>9.5382140933605836E-2</v>
      </c>
      <c r="M4" s="1">
        <v>0</v>
      </c>
      <c r="N4" s="1">
        <v>0</v>
      </c>
      <c r="O4" t="str">
        <f t="shared" si="4"/>
        <v>Producer</v>
      </c>
      <c r="P4" s="15">
        <f t="shared" si="5"/>
        <v>0.98043980555555554</v>
      </c>
    </row>
    <row r="5" spans="1:16" x14ac:dyDescent="0.35">
      <c r="A5" t="s">
        <v>1</v>
      </c>
      <c r="B5">
        <v>7405</v>
      </c>
      <c r="C5">
        <v>2014</v>
      </c>
      <c r="D5">
        <v>7</v>
      </c>
      <c r="E5" s="6">
        <f t="shared" si="0"/>
        <v>41821</v>
      </c>
      <c r="F5" s="1">
        <v>742.41665999999998</v>
      </c>
      <c r="G5" s="1">
        <v>15085.68</v>
      </c>
      <c r="H5" s="1">
        <v>2249365.75</v>
      </c>
      <c r="I5" s="1">
        <v>6243.98</v>
      </c>
      <c r="J5" s="7">
        <f t="shared" si="1"/>
        <v>487.67267695743789</v>
      </c>
      <c r="K5" s="1">
        <f t="shared" si="2"/>
        <v>487.67267695743789</v>
      </c>
      <c r="L5" s="13">
        <f t="shared" si="3"/>
        <v>0.29273696814670275</v>
      </c>
      <c r="M5" s="1">
        <v>0</v>
      </c>
      <c r="N5" s="1">
        <v>0</v>
      </c>
      <c r="O5" t="str">
        <f t="shared" si="4"/>
        <v>Producer</v>
      </c>
      <c r="P5" s="15">
        <f t="shared" si="5"/>
        <v>0.99787185483870966</v>
      </c>
    </row>
    <row r="6" spans="1:16" x14ac:dyDescent="0.35">
      <c r="A6" t="s">
        <v>1</v>
      </c>
      <c r="B6">
        <v>7405</v>
      </c>
      <c r="C6">
        <v>2014</v>
      </c>
      <c r="D6">
        <v>8</v>
      </c>
      <c r="E6" s="6">
        <f t="shared" si="0"/>
        <v>41852</v>
      </c>
      <c r="F6" s="1">
        <v>432.99166000000002</v>
      </c>
      <c r="G6" s="1">
        <v>6970.43</v>
      </c>
      <c r="H6" s="1">
        <v>1048190.8</v>
      </c>
      <c r="I6" s="1">
        <v>4529.75</v>
      </c>
      <c r="J6" s="7">
        <f t="shared" si="1"/>
        <v>386.35921994432869</v>
      </c>
      <c r="K6" s="1">
        <f t="shared" si="2"/>
        <v>386.35921994432869</v>
      </c>
      <c r="L6" s="13">
        <f t="shared" si="3"/>
        <v>0.39388513918912571</v>
      </c>
      <c r="M6" s="1">
        <v>0</v>
      </c>
      <c r="N6" s="1">
        <v>0</v>
      </c>
      <c r="O6" t="str">
        <f t="shared" si="4"/>
        <v>Producer</v>
      </c>
      <c r="P6" s="15">
        <f t="shared" si="5"/>
        <v>0.58197803763440858</v>
      </c>
    </row>
    <row r="7" spans="1:16" x14ac:dyDescent="0.35">
      <c r="A7" t="s">
        <v>1</v>
      </c>
      <c r="B7">
        <v>7405</v>
      </c>
      <c r="C7">
        <v>2014</v>
      </c>
      <c r="D7">
        <v>9</v>
      </c>
      <c r="E7" s="6">
        <f t="shared" si="0"/>
        <v>41883</v>
      </c>
      <c r="F7" s="1">
        <v>630.29999999999995</v>
      </c>
      <c r="G7" s="1">
        <v>9168.43</v>
      </c>
      <c r="H7" s="1">
        <v>1414099.99</v>
      </c>
      <c r="I7" s="1">
        <v>8317.59</v>
      </c>
      <c r="J7" s="7">
        <f t="shared" si="1"/>
        <v>349.10728224654929</v>
      </c>
      <c r="K7" s="1">
        <f t="shared" si="2"/>
        <v>349.10728224654929</v>
      </c>
      <c r="L7" s="13">
        <f t="shared" si="3"/>
        <v>0.4756708501991877</v>
      </c>
      <c r="M7" s="1">
        <v>0</v>
      </c>
      <c r="N7" s="1">
        <v>0</v>
      </c>
      <c r="O7" t="str">
        <f t="shared" si="4"/>
        <v>Producer</v>
      </c>
      <c r="P7" s="15">
        <f t="shared" si="5"/>
        <v>0.87541666666666662</v>
      </c>
    </row>
    <row r="8" spans="1:16" x14ac:dyDescent="0.35">
      <c r="A8" t="s">
        <v>1</v>
      </c>
      <c r="B8">
        <v>7405</v>
      </c>
      <c r="C8">
        <v>2014</v>
      </c>
      <c r="D8">
        <v>10</v>
      </c>
      <c r="E8" s="6">
        <f t="shared" si="0"/>
        <v>41913</v>
      </c>
      <c r="F8" s="1">
        <v>745</v>
      </c>
      <c r="G8" s="1">
        <v>9468.06</v>
      </c>
      <c r="H8" s="1">
        <v>1462063.99</v>
      </c>
      <c r="I8" s="1">
        <v>10364.870000000001</v>
      </c>
      <c r="J8" s="7">
        <f t="shared" si="1"/>
        <v>305.01132885906037</v>
      </c>
      <c r="K8" s="1">
        <f t="shared" si="2"/>
        <v>305.01132885906037</v>
      </c>
      <c r="L8" s="13">
        <f t="shared" si="3"/>
        <v>0.5226091152441924</v>
      </c>
      <c r="M8" s="1">
        <v>0</v>
      </c>
      <c r="N8" s="1">
        <v>0</v>
      </c>
      <c r="O8" t="str">
        <f t="shared" si="4"/>
        <v>Producer</v>
      </c>
      <c r="P8" s="15">
        <f t="shared" si="5"/>
        <v>1.0013440860215055</v>
      </c>
    </row>
    <row r="9" spans="1:16" x14ac:dyDescent="0.35">
      <c r="A9" t="s">
        <v>1</v>
      </c>
      <c r="B9">
        <v>7405</v>
      </c>
      <c r="C9">
        <v>2014</v>
      </c>
      <c r="D9">
        <v>11</v>
      </c>
      <c r="E9" s="6">
        <f t="shared" si="0"/>
        <v>41944</v>
      </c>
      <c r="F9" s="1">
        <v>579.77499999999998</v>
      </c>
      <c r="G9" s="1">
        <v>6710.33</v>
      </c>
      <c r="H9" s="1">
        <v>1044188.3</v>
      </c>
      <c r="I9" s="1">
        <v>7234.24</v>
      </c>
      <c r="J9" s="7">
        <f t="shared" si="1"/>
        <v>277.77658574446986</v>
      </c>
      <c r="K9" s="1">
        <f t="shared" si="2"/>
        <v>277.77658574446986</v>
      </c>
      <c r="L9" s="13">
        <f t="shared" si="3"/>
        <v>0.5187854483860026</v>
      </c>
      <c r="M9" s="1">
        <v>0</v>
      </c>
      <c r="N9" s="1">
        <v>0</v>
      </c>
      <c r="O9" t="str">
        <f t="shared" si="4"/>
        <v>Producer</v>
      </c>
      <c r="P9" s="15">
        <f t="shared" si="5"/>
        <v>0.80524305555555553</v>
      </c>
    </row>
    <row r="10" spans="1:16" x14ac:dyDescent="0.35">
      <c r="A10" t="s">
        <v>1</v>
      </c>
      <c r="B10">
        <v>7405</v>
      </c>
      <c r="C10">
        <v>2014</v>
      </c>
      <c r="D10">
        <v>12</v>
      </c>
      <c r="E10" s="6">
        <f t="shared" si="0"/>
        <v>41974</v>
      </c>
      <c r="F10" s="1">
        <v>27.5</v>
      </c>
      <c r="G10" s="1">
        <v>120.29</v>
      </c>
      <c r="H10" s="1">
        <v>25857.08</v>
      </c>
      <c r="I10" s="1">
        <v>183.44</v>
      </c>
      <c r="J10" s="7">
        <f t="shared" si="1"/>
        <v>104.98036363636365</v>
      </c>
      <c r="K10" s="1">
        <f t="shared" si="2"/>
        <v>104.98036363636365</v>
      </c>
      <c r="L10" s="13">
        <f t="shared" si="3"/>
        <v>0.60395746221973456</v>
      </c>
      <c r="M10" s="1">
        <v>0</v>
      </c>
      <c r="N10" s="1">
        <v>0</v>
      </c>
      <c r="O10" t="str">
        <f t="shared" si="4"/>
        <v>Producer</v>
      </c>
      <c r="P10" s="15">
        <f t="shared" si="5"/>
        <v>3.6962365591397851E-2</v>
      </c>
    </row>
    <row r="11" spans="1:16" x14ac:dyDescent="0.35">
      <c r="A11" t="s">
        <v>1</v>
      </c>
      <c r="B11">
        <v>7405</v>
      </c>
      <c r="C11">
        <v>2015</v>
      </c>
      <c r="D11">
        <v>1</v>
      </c>
      <c r="E11" s="6">
        <f t="shared" si="0"/>
        <v>42005</v>
      </c>
      <c r="F11" s="1">
        <v>479.91667000000001</v>
      </c>
      <c r="G11" s="1">
        <v>10875.53</v>
      </c>
      <c r="H11" s="1">
        <v>1604934.6</v>
      </c>
      <c r="I11" s="1">
        <v>6850.8</v>
      </c>
      <c r="J11" s="7">
        <f t="shared" si="1"/>
        <v>543.87091825753828</v>
      </c>
      <c r="K11" s="1">
        <f t="shared" si="2"/>
        <v>543.87091825753828</v>
      </c>
      <c r="L11" s="13">
        <f t="shared" si="3"/>
        <v>0.38647593720753248</v>
      </c>
      <c r="M11" s="1">
        <v>0</v>
      </c>
      <c r="N11" s="1">
        <v>0</v>
      </c>
      <c r="O11" t="str">
        <f t="shared" si="4"/>
        <v>Producer</v>
      </c>
      <c r="P11" s="15">
        <f t="shared" si="5"/>
        <v>0.64504928763440861</v>
      </c>
    </row>
    <row r="12" spans="1:16" x14ac:dyDescent="0.35">
      <c r="A12" t="s">
        <v>1</v>
      </c>
      <c r="B12">
        <v>7405</v>
      </c>
      <c r="C12">
        <v>2015</v>
      </c>
      <c r="D12">
        <v>2</v>
      </c>
      <c r="E12" s="6">
        <f t="shared" si="0"/>
        <v>42036</v>
      </c>
      <c r="F12" s="1">
        <v>437.41667000000001</v>
      </c>
      <c r="G12" s="1">
        <v>9586.64</v>
      </c>
      <c r="H12" s="1">
        <v>1439453.67</v>
      </c>
      <c r="I12" s="1">
        <v>10744.99</v>
      </c>
      <c r="J12" s="7">
        <f t="shared" si="1"/>
        <v>525.99586568111363</v>
      </c>
      <c r="K12" s="1">
        <f t="shared" si="2"/>
        <v>525.99586568111363</v>
      </c>
      <c r="L12" s="13">
        <f t="shared" si="3"/>
        <v>0.52848640271340774</v>
      </c>
      <c r="M12" s="1">
        <v>0</v>
      </c>
      <c r="N12" s="1">
        <v>0</v>
      </c>
      <c r="O12" t="str">
        <f t="shared" si="4"/>
        <v>Producer</v>
      </c>
      <c r="P12" s="15">
        <f t="shared" si="5"/>
        <v>0.65091766369047621</v>
      </c>
    </row>
    <row r="13" spans="1:16" x14ac:dyDescent="0.35">
      <c r="A13" t="s">
        <v>1</v>
      </c>
      <c r="B13">
        <v>7405</v>
      </c>
      <c r="C13">
        <v>2015</v>
      </c>
      <c r="D13">
        <v>3</v>
      </c>
      <c r="E13" s="6">
        <f t="shared" si="0"/>
        <v>42064</v>
      </c>
      <c r="F13" s="1">
        <v>320.20832999999999</v>
      </c>
      <c r="G13" s="1">
        <v>5879.22</v>
      </c>
      <c r="H13" s="1">
        <v>856681.45</v>
      </c>
      <c r="I13" s="1">
        <v>11607.44</v>
      </c>
      <c r="J13" s="7">
        <f t="shared" si="1"/>
        <v>440.65462007187637</v>
      </c>
      <c r="K13" s="1">
        <f t="shared" si="2"/>
        <v>440.65462007187637</v>
      </c>
      <c r="L13" s="13">
        <f t="shared" si="3"/>
        <v>0.66378828203899432</v>
      </c>
      <c r="M13" s="1">
        <v>0</v>
      </c>
      <c r="N13" s="1">
        <v>0</v>
      </c>
      <c r="O13" t="str">
        <f t="shared" si="4"/>
        <v>Producer</v>
      </c>
      <c r="P13" s="15">
        <f t="shared" si="5"/>
        <v>0.43038754032258064</v>
      </c>
    </row>
    <row r="14" spans="1:16" x14ac:dyDescent="0.35">
      <c r="A14" t="s">
        <v>1</v>
      </c>
      <c r="B14">
        <v>7405</v>
      </c>
      <c r="C14">
        <v>2015</v>
      </c>
      <c r="D14">
        <v>4</v>
      </c>
      <c r="E14" s="6">
        <f t="shared" si="0"/>
        <v>42095</v>
      </c>
      <c r="F14" s="1">
        <v>262.83332999999999</v>
      </c>
      <c r="G14" s="1">
        <v>3924.18</v>
      </c>
      <c r="H14" s="1">
        <v>566709.81000000006</v>
      </c>
      <c r="I14" s="1">
        <v>9815.16</v>
      </c>
      <c r="J14" s="7">
        <f t="shared" si="1"/>
        <v>358.32715736622902</v>
      </c>
      <c r="K14" s="1">
        <f t="shared" si="2"/>
        <v>358.32715736622902</v>
      </c>
      <c r="L14" s="13">
        <f t="shared" si="3"/>
        <v>0.71438366035049716</v>
      </c>
      <c r="M14" s="1">
        <v>0</v>
      </c>
      <c r="N14" s="1">
        <v>0</v>
      </c>
      <c r="O14" t="str">
        <f t="shared" si="4"/>
        <v>Producer</v>
      </c>
      <c r="P14" s="15">
        <f t="shared" si="5"/>
        <v>0.36504629166666663</v>
      </c>
    </row>
    <row r="15" spans="1:16" x14ac:dyDescent="0.35">
      <c r="A15" t="s">
        <v>1</v>
      </c>
      <c r="B15">
        <v>7405</v>
      </c>
      <c r="C15">
        <v>2015</v>
      </c>
      <c r="D15">
        <v>5</v>
      </c>
      <c r="E15" s="6">
        <f t="shared" si="0"/>
        <v>42125</v>
      </c>
      <c r="F15" s="1">
        <v>181.08332999999999</v>
      </c>
      <c r="G15" s="1">
        <v>3832.69</v>
      </c>
      <c r="H15" s="1">
        <v>559060.34</v>
      </c>
      <c r="I15" s="1">
        <v>6167.47</v>
      </c>
      <c r="J15" s="7">
        <f t="shared" si="1"/>
        <v>507.9681271600208</v>
      </c>
      <c r="K15" s="1">
        <f t="shared" si="2"/>
        <v>507.9681271600208</v>
      </c>
      <c r="L15" s="13">
        <f t="shared" si="3"/>
        <v>0.61673713220588477</v>
      </c>
      <c r="M15" s="1">
        <v>0</v>
      </c>
      <c r="N15" s="1">
        <v>0</v>
      </c>
      <c r="O15" t="str">
        <f t="shared" si="4"/>
        <v>Producer</v>
      </c>
      <c r="P15" s="15">
        <f t="shared" si="5"/>
        <v>0.24339157258064514</v>
      </c>
    </row>
    <row r="16" spans="1:16" x14ac:dyDescent="0.35">
      <c r="A16" t="s">
        <v>1</v>
      </c>
      <c r="B16">
        <v>7405</v>
      </c>
      <c r="C16">
        <v>2015</v>
      </c>
      <c r="D16">
        <v>6</v>
      </c>
      <c r="E16" s="6">
        <f t="shared" si="0"/>
        <v>42156</v>
      </c>
      <c r="F16" s="1">
        <v>466.44986</v>
      </c>
      <c r="G16" s="1">
        <v>6344.5</v>
      </c>
      <c r="H16" s="1">
        <v>925337.48</v>
      </c>
      <c r="I16" s="1">
        <v>14548.69</v>
      </c>
      <c r="J16" s="7">
        <f t="shared" si="1"/>
        <v>326.44023089641405</v>
      </c>
      <c r="K16" s="1">
        <f t="shared" si="2"/>
        <v>326.44023089641405</v>
      </c>
      <c r="L16" s="13">
        <f t="shared" si="3"/>
        <v>0.69633646178491648</v>
      </c>
      <c r="M16" s="1">
        <v>0</v>
      </c>
      <c r="N16" s="1">
        <v>0</v>
      </c>
      <c r="O16" t="str">
        <f t="shared" si="4"/>
        <v>Producer</v>
      </c>
      <c r="P16" s="15">
        <f t="shared" si="5"/>
        <v>0.64784702777777781</v>
      </c>
    </row>
    <row r="17" spans="1:16" x14ac:dyDescent="0.35">
      <c r="A17" t="s">
        <v>1</v>
      </c>
      <c r="B17">
        <v>7405</v>
      </c>
      <c r="C17">
        <v>2015</v>
      </c>
      <c r="D17">
        <v>7</v>
      </c>
      <c r="E17" s="6">
        <f t="shared" si="0"/>
        <v>42186</v>
      </c>
      <c r="F17" s="1">
        <v>241.66667000000001</v>
      </c>
      <c r="G17" s="1">
        <v>2093.9499999999998</v>
      </c>
      <c r="H17" s="1">
        <v>315178.96000000002</v>
      </c>
      <c r="I17" s="1">
        <v>8454.26</v>
      </c>
      <c r="J17" s="7">
        <f t="shared" si="1"/>
        <v>207.95089368343591</v>
      </c>
      <c r="K17" s="1">
        <f t="shared" si="2"/>
        <v>207.95089368343591</v>
      </c>
      <c r="L17" s="13">
        <f t="shared" si="3"/>
        <v>0.80148764577117837</v>
      </c>
      <c r="M17" s="1">
        <v>0</v>
      </c>
      <c r="N17" s="1">
        <v>0</v>
      </c>
      <c r="O17" t="str">
        <f t="shared" si="4"/>
        <v>Producer</v>
      </c>
      <c r="P17" s="15">
        <f t="shared" si="5"/>
        <v>0.32482079301075273</v>
      </c>
    </row>
    <row r="18" spans="1:16" x14ac:dyDescent="0.35">
      <c r="A18" t="s">
        <v>1</v>
      </c>
      <c r="B18">
        <v>7405</v>
      </c>
      <c r="C18">
        <v>2015</v>
      </c>
      <c r="D18">
        <v>8</v>
      </c>
      <c r="E18" s="6">
        <f t="shared" si="0"/>
        <v>42217</v>
      </c>
      <c r="F18" s="1">
        <v>147.79167000000001</v>
      </c>
      <c r="G18" s="1">
        <v>2871.02</v>
      </c>
      <c r="H18" s="1">
        <v>427692.59</v>
      </c>
      <c r="I18" s="1">
        <v>5334.03</v>
      </c>
      <c r="J18" s="7">
        <f t="shared" si="1"/>
        <v>466.22708844145274</v>
      </c>
      <c r="K18" s="1">
        <f t="shared" si="2"/>
        <v>466.22708844145274</v>
      </c>
      <c r="L18" s="13">
        <f t="shared" si="3"/>
        <v>0.65009110243082002</v>
      </c>
      <c r="M18" s="1">
        <v>0</v>
      </c>
      <c r="N18" s="1">
        <v>0</v>
      </c>
      <c r="O18" t="str">
        <f t="shared" si="4"/>
        <v>Producer</v>
      </c>
      <c r="P18" s="15">
        <f t="shared" si="5"/>
        <v>0.19864471774193551</v>
      </c>
    </row>
    <row r="19" spans="1:16" x14ac:dyDescent="0.35">
      <c r="A19" t="s">
        <v>1</v>
      </c>
      <c r="B19">
        <v>7405</v>
      </c>
      <c r="C19">
        <v>2015</v>
      </c>
      <c r="D19">
        <v>9</v>
      </c>
      <c r="E19" s="6">
        <f t="shared" si="0"/>
        <v>42248</v>
      </c>
      <c r="F19" s="1">
        <v>384.46679999999998</v>
      </c>
      <c r="G19" s="1">
        <v>6460.27</v>
      </c>
      <c r="H19" s="1">
        <v>961548.42</v>
      </c>
      <c r="I19" s="1">
        <v>14767.12</v>
      </c>
      <c r="J19" s="7">
        <f t="shared" si="1"/>
        <v>403.27664183227267</v>
      </c>
      <c r="K19" s="1">
        <f t="shared" si="2"/>
        <v>403.27664183227267</v>
      </c>
      <c r="L19" s="13">
        <f t="shared" si="3"/>
        <v>0.69566348006043144</v>
      </c>
      <c r="M19" s="1">
        <v>0</v>
      </c>
      <c r="N19" s="1">
        <v>0</v>
      </c>
      <c r="O19" t="str">
        <f t="shared" si="4"/>
        <v>Producer</v>
      </c>
      <c r="P19" s="15">
        <f t="shared" si="5"/>
        <v>0.53398166666666669</v>
      </c>
    </row>
    <row r="20" spans="1:16" x14ac:dyDescent="0.35">
      <c r="A20" t="s">
        <v>1</v>
      </c>
      <c r="B20">
        <v>7405</v>
      </c>
      <c r="C20">
        <v>2015</v>
      </c>
      <c r="D20">
        <v>10</v>
      </c>
      <c r="E20" s="6">
        <f t="shared" si="0"/>
        <v>42278</v>
      </c>
      <c r="F20" s="1">
        <v>367.79986000000002</v>
      </c>
      <c r="G20" s="1">
        <v>4085.8</v>
      </c>
      <c r="H20" s="1">
        <v>631372.56000000006</v>
      </c>
      <c r="I20" s="1">
        <v>13538.71</v>
      </c>
      <c r="J20" s="7">
        <f t="shared" si="1"/>
        <v>266.61021567544913</v>
      </c>
      <c r="K20" s="1">
        <f t="shared" si="2"/>
        <v>266.61021567544913</v>
      </c>
      <c r="L20" s="13">
        <f t="shared" si="3"/>
        <v>0.76817511522306159</v>
      </c>
      <c r="M20" s="1">
        <v>0</v>
      </c>
      <c r="N20" s="1">
        <v>0</v>
      </c>
      <c r="O20" t="str">
        <f t="shared" si="4"/>
        <v>Producer</v>
      </c>
      <c r="P20" s="15">
        <f t="shared" si="5"/>
        <v>0.49435465053763444</v>
      </c>
    </row>
    <row r="21" spans="1:16" x14ac:dyDescent="0.35">
      <c r="A21" t="s">
        <v>1</v>
      </c>
      <c r="B21">
        <v>7405</v>
      </c>
      <c r="C21">
        <v>2015</v>
      </c>
      <c r="D21">
        <v>11</v>
      </c>
      <c r="E21" s="6">
        <f t="shared" si="0"/>
        <v>42309</v>
      </c>
      <c r="F21" s="1">
        <v>301.25833</v>
      </c>
      <c r="G21" s="1">
        <v>3332.05</v>
      </c>
      <c r="H21" s="1">
        <v>508384.43</v>
      </c>
      <c r="I21" s="1">
        <v>11682.31</v>
      </c>
      <c r="J21" s="7">
        <f t="shared" si="1"/>
        <v>265.45058521701293</v>
      </c>
      <c r="K21" s="1">
        <f t="shared" si="2"/>
        <v>265.45058521701293</v>
      </c>
      <c r="L21" s="13">
        <f t="shared" si="3"/>
        <v>0.7780757887782096</v>
      </c>
      <c r="M21" s="1">
        <v>0</v>
      </c>
      <c r="N21" s="1">
        <v>0</v>
      </c>
      <c r="O21" t="str">
        <f t="shared" si="4"/>
        <v>Producer</v>
      </c>
      <c r="P21" s="15">
        <f t="shared" si="5"/>
        <v>0.4184143472222222</v>
      </c>
    </row>
    <row r="22" spans="1:16" x14ac:dyDescent="0.35">
      <c r="A22" t="s">
        <v>1</v>
      </c>
      <c r="B22">
        <v>7405</v>
      </c>
      <c r="C22">
        <v>2015</v>
      </c>
      <c r="D22">
        <v>12</v>
      </c>
      <c r="E22" s="6">
        <f t="shared" si="0"/>
        <v>42339</v>
      </c>
      <c r="F22" s="1">
        <v>197.65833000000001</v>
      </c>
      <c r="G22" s="1">
        <v>2949.42</v>
      </c>
      <c r="H22" s="1">
        <v>454911.3</v>
      </c>
      <c r="I22" s="1">
        <v>6231.55</v>
      </c>
      <c r="J22" s="7">
        <f t="shared" si="1"/>
        <v>358.12343451449783</v>
      </c>
      <c r="K22" s="1">
        <f t="shared" si="2"/>
        <v>358.12343451449783</v>
      </c>
      <c r="L22" s="13">
        <f t="shared" si="3"/>
        <v>0.67874636340168848</v>
      </c>
      <c r="M22" s="1">
        <v>0</v>
      </c>
      <c r="N22" s="1">
        <v>0</v>
      </c>
      <c r="O22" t="str">
        <f t="shared" si="4"/>
        <v>Producer</v>
      </c>
      <c r="P22" s="15">
        <f t="shared" si="5"/>
        <v>0.26566979838709676</v>
      </c>
    </row>
    <row r="23" spans="1:16" x14ac:dyDescent="0.35">
      <c r="A23" t="s">
        <v>1</v>
      </c>
      <c r="B23">
        <v>7405</v>
      </c>
      <c r="C23">
        <v>2016</v>
      </c>
      <c r="D23">
        <v>1</v>
      </c>
      <c r="E23" s="6">
        <f t="shared" si="0"/>
        <v>42370</v>
      </c>
      <c r="F23" s="1">
        <v>387.68333999999999</v>
      </c>
      <c r="G23" s="1">
        <v>2981.44</v>
      </c>
      <c r="H23" s="1">
        <v>471675.96</v>
      </c>
      <c r="I23" s="1">
        <v>14036.28</v>
      </c>
      <c r="J23" s="7">
        <f t="shared" si="1"/>
        <v>184.56960260402215</v>
      </c>
      <c r="K23" s="1">
        <f t="shared" si="2"/>
        <v>184.56960260402215</v>
      </c>
      <c r="L23" s="13">
        <f t="shared" si="3"/>
        <v>0.8248037927524956</v>
      </c>
      <c r="M23" s="1">
        <v>0</v>
      </c>
      <c r="N23" s="1">
        <v>0</v>
      </c>
      <c r="O23" t="str">
        <f t="shared" si="4"/>
        <v>Producer</v>
      </c>
      <c r="P23" s="15">
        <f t="shared" si="5"/>
        <v>0.52107975806451612</v>
      </c>
    </row>
    <row r="24" spans="1:16" x14ac:dyDescent="0.35">
      <c r="A24" t="s">
        <v>1</v>
      </c>
      <c r="B24">
        <v>7405</v>
      </c>
      <c r="C24">
        <v>2016</v>
      </c>
      <c r="D24">
        <v>2</v>
      </c>
      <c r="E24" s="6">
        <f t="shared" si="0"/>
        <v>42401</v>
      </c>
      <c r="F24" s="1">
        <v>484.48331999999999</v>
      </c>
      <c r="G24" s="1">
        <v>4718.03</v>
      </c>
      <c r="H24" s="1">
        <v>742339.77</v>
      </c>
      <c r="I24" s="1">
        <v>15945.73</v>
      </c>
      <c r="J24" s="7">
        <f t="shared" si="1"/>
        <v>233.71851068061537</v>
      </c>
      <c r="K24" s="1">
        <f t="shared" si="2"/>
        <v>233.71851068061537</v>
      </c>
      <c r="L24" s="13">
        <f t="shared" si="3"/>
        <v>0.77167611315656015</v>
      </c>
      <c r="M24" s="1">
        <v>0</v>
      </c>
      <c r="N24" s="1">
        <v>0</v>
      </c>
      <c r="O24" t="str">
        <f t="shared" si="4"/>
        <v>Producer</v>
      </c>
      <c r="P24" s="15">
        <f t="shared" si="5"/>
        <v>0.696096724137931</v>
      </c>
    </row>
    <row r="25" spans="1:16" x14ac:dyDescent="0.35">
      <c r="A25" t="s">
        <v>1</v>
      </c>
      <c r="B25">
        <v>7405</v>
      </c>
      <c r="C25">
        <v>2016</v>
      </c>
      <c r="D25">
        <v>3</v>
      </c>
      <c r="E25" s="6">
        <f t="shared" si="0"/>
        <v>42430</v>
      </c>
      <c r="F25" s="1">
        <v>356.75833</v>
      </c>
      <c r="G25" s="1">
        <v>2917.5</v>
      </c>
      <c r="H25" s="1">
        <v>476830.19</v>
      </c>
      <c r="I25" s="1">
        <v>13410.89</v>
      </c>
      <c r="J25" s="7">
        <f t="shared" si="1"/>
        <v>196.26731630905437</v>
      </c>
      <c r="K25" s="1">
        <f t="shared" si="2"/>
        <v>196.26731630905437</v>
      </c>
      <c r="L25" s="13">
        <f t="shared" si="3"/>
        <v>0.82132347402285222</v>
      </c>
      <c r="M25" s="1">
        <v>0</v>
      </c>
      <c r="N25" s="1">
        <v>0</v>
      </c>
      <c r="O25" t="str">
        <f t="shared" si="4"/>
        <v>Producer</v>
      </c>
      <c r="P25" s="15">
        <f t="shared" si="5"/>
        <v>0.47951388440860215</v>
      </c>
    </row>
    <row r="26" spans="1:16" x14ac:dyDescent="0.35">
      <c r="A26" t="s">
        <v>1</v>
      </c>
      <c r="B26">
        <v>7405</v>
      </c>
      <c r="C26">
        <v>2016</v>
      </c>
      <c r="D26">
        <v>4</v>
      </c>
      <c r="E26" s="6">
        <f t="shared" si="0"/>
        <v>42461</v>
      </c>
      <c r="F26" s="1">
        <v>140.82499000000001</v>
      </c>
      <c r="G26" s="1">
        <v>1671.69</v>
      </c>
      <c r="H26" s="1">
        <v>274213.17</v>
      </c>
      <c r="I26" s="1">
        <v>4441.13</v>
      </c>
      <c r="J26" s="7">
        <f t="shared" si="1"/>
        <v>284.89659399230203</v>
      </c>
      <c r="K26" s="1">
        <f t="shared" si="2"/>
        <v>284.89659399230203</v>
      </c>
      <c r="L26" s="13">
        <f t="shared" si="3"/>
        <v>0.72652720021201345</v>
      </c>
      <c r="M26" s="1">
        <v>0</v>
      </c>
      <c r="N26" s="1">
        <v>0</v>
      </c>
      <c r="O26" t="str">
        <f t="shared" si="4"/>
        <v>Producer</v>
      </c>
      <c r="P26" s="15">
        <f t="shared" si="5"/>
        <v>0.19559026388888892</v>
      </c>
    </row>
    <row r="27" spans="1:16" x14ac:dyDescent="0.35">
      <c r="A27" t="s">
        <v>2</v>
      </c>
      <c r="B27">
        <v>7078</v>
      </c>
      <c r="C27">
        <v>2013</v>
      </c>
      <c r="D27">
        <v>7</v>
      </c>
      <c r="E27" s="6">
        <f t="shared" si="0"/>
        <v>41456</v>
      </c>
      <c r="F27" s="1">
        <v>112.91513999999999</v>
      </c>
      <c r="G27" s="1">
        <v>3923.08</v>
      </c>
      <c r="H27" s="1">
        <v>590504.52</v>
      </c>
      <c r="I27" s="1">
        <v>0</v>
      </c>
      <c r="J27" s="7">
        <f t="shared" si="1"/>
        <v>833.8467277284517</v>
      </c>
      <c r="K27" s="1">
        <f t="shared" si="2"/>
        <v>833.8467277284517</v>
      </c>
      <c r="L27" s="13">
        <f t="shared" si="3"/>
        <v>0</v>
      </c>
      <c r="M27" s="1">
        <v>0</v>
      </c>
      <c r="N27" s="1">
        <v>0</v>
      </c>
      <c r="O27" t="str">
        <f t="shared" si="4"/>
        <v>Producer</v>
      </c>
      <c r="P27" s="15">
        <f t="shared" si="5"/>
        <v>0.15176766129032257</v>
      </c>
    </row>
    <row r="28" spans="1:16" x14ac:dyDescent="0.35">
      <c r="A28" t="s">
        <v>2</v>
      </c>
      <c r="B28">
        <v>7078</v>
      </c>
      <c r="C28">
        <v>2013</v>
      </c>
      <c r="D28">
        <v>8</v>
      </c>
      <c r="E28" s="6">
        <f t="shared" si="0"/>
        <v>41487</v>
      </c>
      <c r="F28" s="1">
        <v>586.71667000000002</v>
      </c>
      <c r="G28" s="1">
        <v>25496.07</v>
      </c>
      <c r="H28" s="1">
        <v>3871942.31</v>
      </c>
      <c r="I28" s="1">
        <v>520.01</v>
      </c>
      <c r="J28" s="7">
        <f t="shared" si="1"/>
        <v>1042.932153265732</v>
      </c>
      <c r="K28" s="1">
        <f t="shared" si="2"/>
        <v>1042.932153265732</v>
      </c>
      <c r="L28" s="13">
        <f t="shared" si="3"/>
        <v>1.9988022792057837E-2</v>
      </c>
      <c r="M28" s="1">
        <v>0</v>
      </c>
      <c r="N28" s="1">
        <v>0</v>
      </c>
      <c r="O28" t="str">
        <f t="shared" si="4"/>
        <v>Producer</v>
      </c>
      <c r="P28" s="15">
        <f t="shared" si="5"/>
        <v>0.78859767473118281</v>
      </c>
    </row>
    <row r="29" spans="1:16" x14ac:dyDescent="0.35">
      <c r="A29" t="s">
        <v>2</v>
      </c>
      <c r="B29">
        <v>7078</v>
      </c>
      <c r="C29">
        <v>2013</v>
      </c>
      <c r="D29">
        <v>9</v>
      </c>
      <c r="E29" s="6">
        <f t="shared" si="0"/>
        <v>41518</v>
      </c>
      <c r="F29" s="1">
        <v>538.91666999999995</v>
      </c>
      <c r="G29" s="1">
        <v>23775.08</v>
      </c>
      <c r="H29" s="1">
        <v>3661574</v>
      </c>
      <c r="I29" s="1">
        <v>1573.61</v>
      </c>
      <c r="J29" s="7">
        <f t="shared" si="1"/>
        <v>1058.7943401342552</v>
      </c>
      <c r="K29" s="1">
        <f t="shared" si="2"/>
        <v>1058.7943401342552</v>
      </c>
      <c r="L29" s="13">
        <f t="shared" si="3"/>
        <v>6.2078553171781251E-2</v>
      </c>
      <c r="M29" s="1">
        <v>0</v>
      </c>
      <c r="N29" s="1">
        <v>0</v>
      </c>
      <c r="O29" t="str">
        <f t="shared" si="4"/>
        <v>Producer</v>
      </c>
      <c r="P29" s="15">
        <f t="shared" si="5"/>
        <v>0.74849537499999996</v>
      </c>
    </row>
    <row r="30" spans="1:16" x14ac:dyDescent="0.35">
      <c r="A30" t="s">
        <v>2</v>
      </c>
      <c r="B30">
        <v>7078</v>
      </c>
      <c r="C30">
        <v>2013</v>
      </c>
      <c r="D30">
        <v>10</v>
      </c>
      <c r="E30" s="6">
        <f t="shared" si="0"/>
        <v>41548</v>
      </c>
      <c r="F30" s="1">
        <v>678.49991</v>
      </c>
      <c r="G30" s="1">
        <v>34114.5</v>
      </c>
      <c r="H30" s="1">
        <v>5272724.29</v>
      </c>
      <c r="I30" s="1">
        <v>1926.53</v>
      </c>
      <c r="J30" s="7">
        <f t="shared" si="1"/>
        <v>1206.7031814344678</v>
      </c>
      <c r="K30" s="1">
        <f t="shared" si="2"/>
        <v>1206.7031814344678</v>
      </c>
      <c r="L30" s="13">
        <f t="shared" si="3"/>
        <v>5.34537997387977E-2</v>
      </c>
      <c r="M30" s="1">
        <v>0</v>
      </c>
      <c r="N30" s="1">
        <v>0</v>
      </c>
      <c r="O30" t="str">
        <f t="shared" si="4"/>
        <v>Producer</v>
      </c>
      <c r="P30" s="15">
        <f t="shared" si="5"/>
        <v>0.91196224462365594</v>
      </c>
    </row>
    <row r="31" spans="1:16" x14ac:dyDescent="0.35">
      <c r="A31" t="s">
        <v>2</v>
      </c>
      <c r="B31">
        <v>7078</v>
      </c>
      <c r="C31">
        <v>2013</v>
      </c>
      <c r="D31">
        <v>11</v>
      </c>
      <c r="E31" s="6">
        <f t="shared" si="0"/>
        <v>41579</v>
      </c>
      <c r="F31" s="1">
        <v>712</v>
      </c>
      <c r="G31" s="1">
        <v>35386.35</v>
      </c>
      <c r="H31" s="1">
        <v>5413486.1399999997</v>
      </c>
      <c r="I31" s="1">
        <v>3791.22</v>
      </c>
      <c r="J31" s="7">
        <f t="shared" si="1"/>
        <v>1192.7983146067415</v>
      </c>
      <c r="K31" s="1">
        <f t="shared" si="2"/>
        <v>1192.7983146067415</v>
      </c>
      <c r="L31" s="13">
        <f t="shared" si="3"/>
        <v>9.6770167215577685E-2</v>
      </c>
      <c r="M31" s="1">
        <v>0</v>
      </c>
      <c r="N31" s="1">
        <v>0</v>
      </c>
      <c r="O31" t="str">
        <f t="shared" si="4"/>
        <v>Producer</v>
      </c>
      <c r="P31" s="15">
        <f t="shared" si="5"/>
        <v>0.98888888888888893</v>
      </c>
    </row>
    <row r="32" spans="1:16" x14ac:dyDescent="0.35">
      <c r="A32" t="s">
        <v>2</v>
      </c>
      <c r="B32">
        <v>7078</v>
      </c>
      <c r="C32">
        <v>2013</v>
      </c>
      <c r="D32">
        <v>12</v>
      </c>
      <c r="E32" s="6">
        <f t="shared" si="0"/>
        <v>41609</v>
      </c>
      <c r="F32" s="1">
        <v>662.08335</v>
      </c>
      <c r="G32" s="1">
        <v>33405.75</v>
      </c>
      <c r="H32" s="1">
        <v>5190658.82</v>
      </c>
      <c r="I32" s="1">
        <v>4963.26</v>
      </c>
      <c r="J32" s="7">
        <f t="shared" si="1"/>
        <v>1210.9321281074356</v>
      </c>
      <c r="K32" s="1">
        <f t="shared" si="2"/>
        <v>1210.9321281074356</v>
      </c>
      <c r="L32" s="13">
        <f t="shared" si="3"/>
        <v>0.12935595679951084</v>
      </c>
      <c r="M32" s="1">
        <v>0</v>
      </c>
      <c r="N32" s="1">
        <v>0</v>
      </c>
      <c r="O32" t="str">
        <f t="shared" si="4"/>
        <v>Producer</v>
      </c>
      <c r="P32" s="15">
        <f t="shared" si="5"/>
        <v>0.88989697580645166</v>
      </c>
    </row>
    <row r="33" spans="1:16" x14ac:dyDescent="0.35">
      <c r="A33" t="s">
        <v>2</v>
      </c>
      <c r="B33">
        <v>7078</v>
      </c>
      <c r="C33">
        <v>2014</v>
      </c>
      <c r="D33">
        <v>1</v>
      </c>
      <c r="E33" s="6">
        <f t="shared" si="0"/>
        <v>41640</v>
      </c>
      <c r="F33" s="1">
        <v>668.08333000000005</v>
      </c>
      <c r="G33" s="1">
        <v>34552.370000000003</v>
      </c>
      <c r="H33" s="1">
        <v>5193353.22</v>
      </c>
      <c r="I33" s="1">
        <v>4343.49</v>
      </c>
      <c r="J33" s="7">
        <f t="shared" si="1"/>
        <v>1241.2476748970821</v>
      </c>
      <c r="K33" s="1">
        <f t="shared" si="2"/>
        <v>1241.2476748970821</v>
      </c>
      <c r="L33" s="13">
        <f t="shared" si="3"/>
        <v>0.11166972526124888</v>
      </c>
      <c r="M33" s="1">
        <v>0</v>
      </c>
      <c r="N33" s="1">
        <v>0</v>
      </c>
      <c r="O33" t="str">
        <f t="shared" si="4"/>
        <v>Producer</v>
      </c>
      <c r="P33" s="15">
        <f t="shared" si="5"/>
        <v>0.89796146505376351</v>
      </c>
    </row>
    <row r="34" spans="1:16" x14ac:dyDescent="0.35">
      <c r="A34" t="s">
        <v>2</v>
      </c>
      <c r="B34">
        <v>7078</v>
      </c>
      <c r="C34">
        <v>2014</v>
      </c>
      <c r="D34">
        <v>2</v>
      </c>
      <c r="E34" s="6">
        <f t="shared" si="0"/>
        <v>41671</v>
      </c>
      <c r="F34" s="1">
        <v>562.66665999999998</v>
      </c>
      <c r="G34" s="1">
        <v>28189.97</v>
      </c>
      <c r="H34" s="1">
        <v>4255282.68</v>
      </c>
      <c r="I34" s="1">
        <v>2841.37</v>
      </c>
      <c r="J34" s="7">
        <f t="shared" si="1"/>
        <v>1202.4157962371539</v>
      </c>
      <c r="K34" s="1">
        <f t="shared" si="2"/>
        <v>1202.4157962371539</v>
      </c>
      <c r="L34" s="13">
        <f t="shared" si="3"/>
        <v>9.1564527990090017E-2</v>
      </c>
      <c r="M34" s="1">
        <v>0</v>
      </c>
      <c r="N34" s="1">
        <v>0</v>
      </c>
      <c r="O34" t="str">
        <f t="shared" si="4"/>
        <v>Producer</v>
      </c>
      <c r="P34" s="15">
        <f t="shared" si="5"/>
        <v>0.83730157738095234</v>
      </c>
    </row>
    <row r="35" spans="1:16" x14ac:dyDescent="0.35">
      <c r="A35" t="s">
        <v>2</v>
      </c>
      <c r="B35">
        <v>7078</v>
      </c>
      <c r="C35">
        <v>2014</v>
      </c>
      <c r="D35">
        <v>3</v>
      </c>
      <c r="E35" s="6">
        <f t="shared" si="0"/>
        <v>41699</v>
      </c>
      <c r="F35" s="1">
        <v>655.49999000000003</v>
      </c>
      <c r="G35" s="1">
        <v>33290.79</v>
      </c>
      <c r="H35" s="1">
        <v>5039849.75</v>
      </c>
      <c r="I35" s="1">
        <v>3692.22</v>
      </c>
      <c r="J35" s="7">
        <f t="shared" si="1"/>
        <v>1218.8847783201338</v>
      </c>
      <c r="K35" s="1">
        <f t="shared" si="2"/>
        <v>1218.8847783201338</v>
      </c>
      <c r="L35" s="13">
        <f t="shared" si="3"/>
        <v>9.9835573145614698E-2</v>
      </c>
      <c r="M35" s="1">
        <v>0</v>
      </c>
      <c r="N35" s="1">
        <v>0</v>
      </c>
      <c r="O35" t="str">
        <f t="shared" si="4"/>
        <v>Producer</v>
      </c>
      <c r="P35" s="15">
        <f t="shared" si="5"/>
        <v>0.88104837365591404</v>
      </c>
    </row>
    <row r="36" spans="1:16" x14ac:dyDescent="0.35">
      <c r="A36" t="s">
        <v>2</v>
      </c>
      <c r="B36">
        <v>7078</v>
      </c>
      <c r="C36">
        <v>2014</v>
      </c>
      <c r="D36">
        <v>4</v>
      </c>
      <c r="E36" s="6">
        <f t="shared" si="0"/>
        <v>41730</v>
      </c>
      <c r="F36" s="1">
        <v>691.51684999999998</v>
      </c>
      <c r="G36" s="1">
        <v>35428.730000000003</v>
      </c>
      <c r="H36" s="1">
        <v>5301958.8</v>
      </c>
      <c r="I36" s="1">
        <v>4124.45</v>
      </c>
      <c r="J36" s="7">
        <f t="shared" si="1"/>
        <v>1229.6005802317038</v>
      </c>
      <c r="K36" s="1">
        <f t="shared" si="2"/>
        <v>1229.6005802317038</v>
      </c>
      <c r="L36" s="13">
        <f t="shared" si="3"/>
        <v>0.10427606579294003</v>
      </c>
      <c r="M36" s="1">
        <v>0</v>
      </c>
      <c r="N36" s="1">
        <v>0</v>
      </c>
      <c r="O36" t="str">
        <f t="shared" si="4"/>
        <v>Producer</v>
      </c>
      <c r="P36" s="15">
        <f t="shared" si="5"/>
        <v>0.96044006944444438</v>
      </c>
    </row>
    <row r="37" spans="1:16" x14ac:dyDescent="0.35">
      <c r="A37" t="s">
        <v>2</v>
      </c>
      <c r="B37">
        <v>7078</v>
      </c>
      <c r="C37">
        <v>2014</v>
      </c>
      <c r="D37">
        <v>5</v>
      </c>
      <c r="E37" s="6">
        <f t="shared" si="0"/>
        <v>41760</v>
      </c>
      <c r="F37" s="1">
        <v>731.5</v>
      </c>
      <c r="G37" s="1">
        <v>34831.879999999997</v>
      </c>
      <c r="H37" s="1">
        <v>4902619.28</v>
      </c>
      <c r="I37" s="1">
        <v>5017.47</v>
      </c>
      <c r="J37" s="7">
        <f t="shared" si="1"/>
        <v>1142.8094600136703</v>
      </c>
      <c r="K37" s="1">
        <f t="shared" si="2"/>
        <v>1142.8094600136703</v>
      </c>
      <c r="L37" s="13">
        <f t="shared" si="3"/>
        <v>0.12591096216123979</v>
      </c>
      <c r="M37" s="1">
        <v>0</v>
      </c>
      <c r="N37" s="1">
        <v>0</v>
      </c>
      <c r="O37" t="str">
        <f t="shared" si="4"/>
        <v>Producer</v>
      </c>
      <c r="P37" s="15">
        <f t="shared" si="5"/>
        <v>0.98319892473118276</v>
      </c>
    </row>
    <row r="38" spans="1:16" x14ac:dyDescent="0.35">
      <c r="A38" t="s">
        <v>2</v>
      </c>
      <c r="B38">
        <v>7078</v>
      </c>
      <c r="C38">
        <v>2014</v>
      </c>
      <c r="D38">
        <v>6</v>
      </c>
      <c r="E38" s="6">
        <f t="shared" si="0"/>
        <v>41791</v>
      </c>
      <c r="F38" s="1">
        <v>709.33333000000005</v>
      </c>
      <c r="G38" s="1">
        <v>33898.639999999999</v>
      </c>
      <c r="H38" s="1">
        <v>4990684.5199999996</v>
      </c>
      <c r="I38" s="1">
        <v>6083.59</v>
      </c>
      <c r="J38" s="7">
        <f t="shared" si="1"/>
        <v>1146.9464715551994</v>
      </c>
      <c r="K38" s="1">
        <f t="shared" si="2"/>
        <v>1146.9464715551994</v>
      </c>
      <c r="L38" s="13">
        <f t="shared" si="3"/>
        <v>0.15215734590091651</v>
      </c>
      <c r="M38" s="1">
        <v>0</v>
      </c>
      <c r="N38" s="1">
        <v>0</v>
      </c>
      <c r="O38" t="str">
        <f t="shared" si="4"/>
        <v>Producer</v>
      </c>
      <c r="P38" s="15">
        <f t="shared" si="5"/>
        <v>0.9851851805555556</v>
      </c>
    </row>
    <row r="39" spans="1:16" x14ac:dyDescent="0.35">
      <c r="A39" t="s">
        <v>2</v>
      </c>
      <c r="B39">
        <v>7078</v>
      </c>
      <c r="C39">
        <v>2014</v>
      </c>
      <c r="D39">
        <v>7</v>
      </c>
      <c r="E39" s="6">
        <f t="shared" si="0"/>
        <v>41821</v>
      </c>
      <c r="F39" s="1">
        <v>742.66666999999995</v>
      </c>
      <c r="G39" s="1">
        <v>33760.33</v>
      </c>
      <c r="H39" s="1">
        <v>5035917.29</v>
      </c>
      <c r="I39" s="1">
        <v>6800.85</v>
      </c>
      <c r="J39" s="7">
        <f t="shared" si="1"/>
        <v>1090.9980920511757</v>
      </c>
      <c r="K39" s="1">
        <f t="shared" si="2"/>
        <v>1090.9980920511757</v>
      </c>
      <c r="L39" s="13">
        <f t="shared" si="3"/>
        <v>0.16766893862555282</v>
      </c>
      <c r="M39" s="1">
        <v>0</v>
      </c>
      <c r="N39" s="1">
        <v>0</v>
      </c>
      <c r="O39" t="str">
        <f t="shared" si="4"/>
        <v>Producer</v>
      </c>
      <c r="P39" s="15">
        <f t="shared" si="5"/>
        <v>0.99820788978494612</v>
      </c>
    </row>
    <row r="40" spans="1:16" x14ac:dyDescent="0.35">
      <c r="A40" t="s">
        <v>2</v>
      </c>
      <c r="B40">
        <v>7078</v>
      </c>
      <c r="C40">
        <v>2014</v>
      </c>
      <c r="D40">
        <v>8</v>
      </c>
      <c r="E40" s="6">
        <f t="shared" si="0"/>
        <v>41852</v>
      </c>
      <c r="F40" s="1">
        <v>599.11668999999995</v>
      </c>
      <c r="G40" s="1">
        <v>26037.54</v>
      </c>
      <c r="H40" s="1">
        <v>4033770.42</v>
      </c>
      <c r="I40" s="1">
        <v>6076.52</v>
      </c>
      <c r="J40" s="7">
        <f t="shared" si="1"/>
        <v>1043.0371418963475</v>
      </c>
      <c r="K40" s="1">
        <f t="shared" si="2"/>
        <v>1043.0371418963475</v>
      </c>
      <c r="L40" s="13">
        <f t="shared" si="3"/>
        <v>0.18921681033167403</v>
      </c>
      <c r="M40" s="1">
        <v>0</v>
      </c>
      <c r="N40" s="1">
        <v>0</v>
      </c>
      <c r="O40" t="str">
        <f t="shared" si="4"/>
        <v>Producer</v>
      </c>
      <c r="P40" s="15">
        <f t="shared" si="5"/>
        <v>0.80526436827956982</v>
      </c>
    </row>
    <row r="41" spans="1:16" x14ac:dyDescent="0.35">
      <c r="A41" t="s">
        <v>2</v>
      </c>
      <c r="B41">
        <v>7078</v>
      </c>
      <c r="C41">
        <v>2014</v>
      </c>
      <c r="D41">
        <v>9</v>
      </c>
      <c r="E41" s="6">
        <f t="shared" si="0"/>
        <v>41883</v>
      </c>
      <c r="F41" s="1">
        <v>690.66666999999995</v>
      </c>
      <c r="G41" s="1">
        <v>33221.64</v>
      </c>
      <c r="H41" s="1">
        <v>5220328.68</v>
      </c>
      <c r="I41" s="1">
        <v>8349.0499999999993</v>
      </c>
      <c r="J41" s="7">
        <f t="shared" si="1"/>
        <v>1154.4199172083981</v>
      </c>
      <c r="K41" s="1">
        <f t="shared" si="2"/>
        <v>1154.4199172083981</v>
      </c>
      <c r="L41" s="13">
        <f t="shared" si="3"/>
        <v>0.2008398224806949</v>
      </c>
      <c r="M41" s="1">
        <v>0</v>
      </c>
      <c r="N41" s="1">
        <v>0</v>
      </c>
      <c r="O41" t="str">
        <f t="shared" si="4"/>
        <v>Producer</v>
      </c>
      <c r="P41" s="15">
        <f t="shared" si="5"/>
        <v>0.95925926388888882</v>
      </c>
    </row>
    <row r="42" spans="1:16" x14ac:dyDescent="0.35">
      <c r="A42" t="s">
        <v>2</v>
      </c>
      <c r="B42">
        <v>7078</v>
      </c>
      <c r="C42">
        <v>2014</v>
      </c>
      <c r="D42">
        <v>10</v>
      </c>
      <c r="E42" s="6">
        <f t="shared" si="0"/>
        <v>41913</v>
      </c>
      <c r="F42" s="1">
        <v>745</v>
      </c>
      <c r="G42" s="1">
        <v>33851.72</v>
      </c>
      <c r="H42" s="1">
        <v>5237208.3</v>
      </c>
      <c r="I42" s="1">
        <v>10287.9</v>
      </c>
      <c r="J42" s="7">
        <f t="shared" si="1"/>
        <v>1090.5252080536914</v>
      </c>
      <c r="K42" s="1">
        <f t="shared" si="2"/>
        <v>1090.5252080536914</v>
      </c>
      <c r="L42" s="13">
        <f t="shared" si="3"/>
        <v>0.23307631556411221</v>
      </c>
      <c r="M42" s="1">
        <v>0</v>
      </c>
      <c r="N42" s="1">
        <v>0</v>
      </c>
      <c r="O42" t="str">
        <f t="shared" si="4"/>
        <v>Producer</v>
      </c>
      <c r="P42" s="15">
        <f t="shared" si="5"/>
        <v>1.0013440860215055</v>
      </c>
    </row>
    <row r="43" spans="1:16" x14ac:dyDescent="0.35">
      <c r="A43" t="s">
        <v>2</v>
      </c>
      <c r="B43">
        <v>7078</v>
      </c>
      <c r="C43">
        <v>2014</v>
      </c>
      <c r="D43">
        <v>11</v>
      </c>
      <c r="E43" s="6">
        <f t="shared" si="0"/>
        <v>41944</v>
      </c>
      <c r="F43" s="1">
        <v>692.39180999999996</v>
      </c>
      <c r="G43" s="1">
        <v>26611.5</v>
      </c>
      <c r="H43" s="1">
        <v>4153116.29</v>
      </c>
      <c r="I43" s="1">
        <v>9403.58</v>
      </c>
      <c r="J43" s="7">
        <f t="shared" si="1"/>
        <v>922.41992290463406</v>
      </c>
      <c r="K43" s="1">
        <f t="shared" si="2"/>
        <v>922.41992290463406</v>
      </c>
      <c r="L43" s="13">
        <f t="shared" si="3"/>
        <v>0.26110118317104947</v>
      </c>
      <c r="M43" s="1">
        <v>0</v>
      </c>
      <c r="N43" s="1">
        <v>0</v>
      </c>
      <c r="O43" t="str">
        <f t="shared" si="4"/>
        <v>Producer</v>
      </c>
      <c r="P43" s="15">
        <f t="shared" si="5"/>
        <v>0.96165529166666663</v>
      </c>
    </row>
    <row r="44" spans="1:16" x14ac:dyDescent="0.35">
      <c r="A44" t="s">
        <v>2</v>
      </c>
      <c r="B44">
        <v>7078</v>
      </c>
      <c r="C44">
        <v>2014</v>
      </c>
      <c r="D44">
        <v>12</v>
      </c>
      <c r="E44" s="6">
        <f t="shared" si="0"/>
        <v>41974</v>
      </c>
      <c r="F44" s="1">
        <v>733.85820000000001</v>
      </c>
      <c r="G44" s="1">
        <v>8547.92</v>
      </c>
      <c r="H44" s="1">
        <v>1413111.64</v>
      </c>
      <c r="I44" s="1">
        <v>3079.05</v>
      </c>
      <c r="J44" s="7">
        <f t="shared" si="1"/>
        <v>279.55002751212697</v>
      </c>
      <c r="K44" s="1">
        <f t="shared" si="2"/>
        <v>279.55002751212697</v>
      </c>
      <c r="L44" s="13">
        <f t="shared" si="3"/>
        <v>0.26481963916652401</v>
      </c>
      <c r="M44" s="1">
        <v>0</v>
      </c>
      <c r="N44" s="1">
        <v>0</v>
      </c>
      <c r="O44" t="str">
        <f t="shared" si="4"/>
        <v>Producer</v>
      </c>
      <c r="P44" s="15">
        <f t="shared" si="5"/>
        <v>0.98636854838709676</v>
      </c>
    </row>
    <row r="45" spans="1:16" x14ac:dyDescent="0.35">
      <c r="A45" t="s">
        <v>2</v>
      </c>
      <c r="B45">
        <v>7078</v>
      </c>
      <c r="C45">
        <v>2015</v>
      </c>
      <c r="D45">
        <v>1</v>
      </c>
      <c r="E45" s="6">
        <f t="shared" si="0"/>
        <v>42005</v>
      </c>
      <c r="F45" s="1">
        <v>708.33333000000005</v>
      </c>
      <c r="G45" s="1">
        <v>29561.8</v>
      </c>
      <c r="H45" s="1">
        <v>4358978.95</v>
      </c>
      <c r="I45" s="1">
        <v>13860.6</v>
      </c>
      <c r="J45" s="7">
        <f t="shared" si="1"/>
        <v>1001.623345889992</v>
      </c>
      <c r="K45" s="1">
        <f t="shared" si="2"/>
        <v>1001.623345889992</v>
      </c>
      <c r="L45" s="13">
        <f t="shared" si="3"/>
        <v>0.3192039131876635</v>
      </c>
      <c r="M45" s="1">
        <v>0</v>
      </c>
      <c r="N45" s="1">
        <v>0</v>
      </c>
      <c r="O45" t="str">
        <f t="shared" si="4"/>
        <v>Producer</v>
      </c>
      <c r="P45" s="15">
        <f t="shared" si="5"/>
        <v>0.95206092741935489</v>
      </c>
    </row>
    <row r="46" spans="1:16" x14ac:dyDescent="0.35">
      <c r="A46" t="s">
        <v>2</v>
      </c>
      <c r="B46">
        <v>7078</v>
      </c>
      <c r="C46">
        <v>2015</v>
      </c>
      <c r="D46">
        <v>2</v>
      </c>
      <c r="E46" s="6">
        <f t="shared" si="0"/>
        <v>42036</v>
      </c>
      <c r="F46" s="1">
        <v>632.16666999999995</v>
      </c>
      <c r="G46" s="1">
        <v>25347.22</v>
      </c>
      <c r="H46" s="1">
        <v>3836073.69</v>
      </c>
      <c r="I46" s="1">
        <v>14061.01</v>
      </c>
      <c r="J46" s="7">
        <f t="shared" si="1"/>
        <v>962.2988823501247</v>
      </c>
      <c r="K46" s="1">
        <f t="shared" si="2"/>
        <v>962.2988823501247</v>
      </c>
      <c r="L46" s="13">
        <f t="shared" si="3"/>
        <v>0.35680389603897456</v>
      </c>
      <c r="M46" s="1">
        <v>0</v>
      </c>
      <c r="N46" s="1">
        <v>0</v>
      </c>
      <c r="O46" t="str">
        <f t="shared" si="4"/>
        <v>Producer</v>
      </c>
      <c r="P46" s="15">
        <f t="shared" si="5"/>
        <v>0.94072421130952377</v>
      </c>
    </row>
    <row r="47" spans="1:16" x14ac:dyDescent="0.35">
      <c r="A47" t="s">
        <v>2</v>
      </c>
      <c r="B47">
        <v>7078</v>
      </c>
      <c r="C47">
        <v>2015</v>
      </c>
      <c r="D47">
        <v>3</v>
      </c>
      <c r="E47" s="6">
        <f t="shared" si="0"/>
        <v>42064</v>
      </c>
      <c r="F47" s="1">
        <v>743.83333000000005</v>
      </c>
      <c r="G47" s="1">
        <v>44316.19</v>
      </c>
      <c r="H47" s="1">
        <v>6516700.4900000002</v>
      </c>
      <c r="I47" s="1">
        <v>19387.3</v>
      </c>
      <c r="J47" s="7">
        <f t="shared" si="1"/>
        <v>1429.8748349983189</v>
      </c>
      <c r="K47" s="1">
        <f t="shared" si="2"/>
        <v>1429.8748349983189</v>
      </c>
      <c r="L47" s="13">
        <f t="shared" si="3"/>
        <v>0.30433654419875578</v>
      </c>
      <c r="M47" s="1">
        <v>0</v>
      </c>
      <c r="N47" s="1">
        <v>0</v>
      </c>
      <c r="O47" t="str">
        <f t="shared" si="4"/>
        <v>Producer</v>
      </c>
      <c r="P47" s="15">
        <f t="shared" si="5"/>
        <v>0.99977598118279576</v>
      </c>
    </row>
    <row r="48" spans="1:16" x14ac:dyDescent="0.35">
      <c r="A48" t="s">
        <v>2</v>
      </c>
      <c r="B48">
        <v>7078</v>
      </c>
      <c r="C48">
        <v>2015</v>
      </c>
      <c r="D48">
        <v>4</v>
      </c>
      <c r="E48" s="6">
        <f t="shared" si="0"/>
        <v>42095</v>
      </c>
      <c r="F48" s="1">
        <v>720</v>
      </c>
      <c r="G48" s="1">
        <v>54555.76</v>
      </c>
      <c r="H48" s="1">
        <v>7956467.4900000002</v>
      </c>
      <c r="I48" s="1">
        <v>23839.72</v>
      </c>
      <c r="J48" s="7">
        <f t="shared" si="1"/>
        <v>1818.5253333333335</v>
      </c>
      <c r="K48" s="1">
        <f t="shared" si="2"/>
        <v>1818.5253333333335</v>
      </c>
      <c r="L48" s="13">
        <f t="shared" si="3"/>
        <v>0.30409559326634644</v>
      </c>
      <c r="M48" s="1">
        <v>0</v>
      </c>
      <c r="N48" s="1">
        <v>0</v>
      </c>
      <c r="O48" t="str">
        <f t="shared" si="4"/>
        <v>Producer</v>
      </c>
      <c r="P48" s="15">
        <f t="shared" si="5"/>
        <v>1</v>
      </c>
    </row>
    <row r="49" spans="1:16" x14ac:dyDescent="0.35">
      <c r="A49" t="s">
        <v>2</v>
      </c>
      <c r="B49">
        <v>7078</v>
      </c>
      <c r="C49">
        <v>2015</v>
      </c>
      <c r="D49">
        <v>5</v>
      </c>
      <c r="E49" s="6">
        <f t="shared" si="0"/>
        <v>42125</v>
      </c>
      <c r="F49" s="1">
        <v>744</v>
      </c>
      <c r="G49" s="1">
        <v>55029.22</v>
      </c>
      <c r="H49" s="1">
        <v>8027510.4400000004</v>
      </c>
      <c r="I49" s="1">
        <v>24425.53</v>
      </c>
      <c r="J49" s="7">
        <f t="shared" si="1"/>
        <v>1775.1361290322582</v>
      </c>
      <c r="K49" s="1">
        <f t="shared" si="2"/>
        <v>1775.1361290322582</v>
      </c>
      <c r="L49" s="13">
        <f t="shared" si="3"/>
        <v>0.30741434590128341</v>
      </c>
      <c r="M49" s="1">
        <v>0</v>
      </c>
      <c r="N49" s="1">
        <v>0</v>
      </c>
      <c r="O49" t="str">
        <f t="shared" si="4"/>
        <v>Producer</v>
      </c>
      <c r="P49" s="15">
        <f t="shared" si="5"/>
        <v>1</v>
      </c>
    </row>
    <row r="50" spans="1:16" x14ac:dyDescent="0.35">
      <c r="A50" t="s">
        <v>2</v>
      </c>
      <c r="B50">
        <v>7078</v>
      </c>
      <c r="C50">
        <v>2015</v>
      </c>
      <c r="D50">
        <v>6</v>
      </c>
      <c r="E50" s="6">
        <f t="shared" si="0"/>
        <v>42156</v>
      </c>
      <c r="F50" s="1">
        <v>718.81667000000004</v>
      </c>
      <c r="G50" s="1">
        <v>48231.1</v>
      </c>
      <c r="H50" s="1">
        <v>7065851.5899999999</v>
      </c>
      <c r="I50" s="1">
        <v>22891.62</v>
      </c>
      <c r="J50" s="7">
        <f t="shared" si="1"/>
        <v>1610.3499658682094</v>
      </c>
      <c r="K50" s="1">
        <f t="shared" si="2"/>
        <v>1610.3499658682094</v>
      </c>
      <c r="L50" s="13">
        <f t="shared" si="3"/>
        <v>0.3218608624642027</v>
      </c>
      <c r="M50" s="1">
        <v>0</v>
      </c>
      <c r="N50" s="1">
        <v>0</v>
      </c>
      <c r="O50" t="str">
        <f t="shared" si="4"/>
        <v>Producer</v>
      </c>
      <c r="P50" s="15">
        <f t="shared" si="5"/>
        <v>0.99835648611111116</v>
      </c>
    </row>
    <row r="51" spans="1:16" x14ac:dyDescent="0.35">
      <c r="A51" t="s">
        <v>2</v>
      </c>
      <c r="B51">
        <v>7078</v>
      </c>
      <c r="C51">
        <v>2015</v>
      </c>
      <c r="D51">
        <v>7</v>
      </c>
      <c r="E51" s="6">
        <f t="shared" si="0"/>
        <v>42186</v>
      </c>
      <c r="F51" s="1">
        <v>744</v>
      </c>
      <c r="G51" s="1">
        <v>43784.66</v>
      </c>
      <c r="H51" s="1">
        <v>6508853.29</v>
      </c>
      <c r="I51" s="1">
        <v>36195.93</v>
      </c>
      <c r="J51" s="7">
        <f t="shared" si="1"/>
        <v>1412.4083870967743</v>
      </c>
      <c r="K51" s="1">
        <f t="shared" si="2"/>
        <v>1412.4083870967743</v>
      </c>
      <c r="L51" s="13">
        <f t="shared" si="3"/>
        <v>0.45255892710969003</v>
      </c>
      <c r="M51" s="1">
        <v>0</v>
      </c>
      <c r="N51" s="1">
        <v>0</v>
      </c>
      <c r="O51" t="str">
        <f t="shared" si="4"/>
        <v>Producer</v>
      </c>
      <c r="P51" s="15">
        <f t="shared" si="5"/>
        <v>1</v>
      </c>
    </row>
    <row r="52" spans="1:16" x14ac:dyDescent="0.35">
      <c r="A52" t="s">
        <v>2</v>
      </c>
      <c r="B52">
        <v>7078</v>
      </c>
      <c r="C52">
        <v>2015</v>
      </c>
      <c r="D52">
        <v>8</v>
      </c>
      <c r="E52" s="6">
        <f t="shared" si="0"/>
        <v>42217</v>
      </c>
      <c r="F52" s="1">
        <v>632.01680999999996</v>
      </c>
      <c r="G52" s="1">
        <v>31498.15</v>
      </c>
      <c r="H52" s="1">
        <v>4769902.18</v>
      </c>
      <c r="I52" s="1">
        <v>31870.44</v>
      </c>
      <c r="J52" s="7">
        <f t="shared" si="1"/>
        <v>1196.1004644797345</v>
      </c>
      <c r="K52" s="1">
        <f t="shared" si="2"/>
        <v>1196.1004644797345</v>
      </c>
      <c r="L52" s="13">
        <f t="shared" si="3"/>
        <v>0.50293749632112694</v>
      </c>
      <c r="M52" s="1">
        <v>0</v>
      </c>
      <c r="N52" s="1">
        <v>0</v>
      </c>
      <c r="O52" t="str">
        <f t="shared" si="4"/>
        <v>Producer</v>
      </c>
      <c r="P52" s="15">
        <f t="shared" si="5"/>
        <v>0.84948495967741933</v>
      </c>
    </row>
    <row r="53" spans="1:16" x14ac:dyDescent="0.35">
      <c r="A53" t="s">
        <v>2</v>
      </c>
      <c r="B53">
        <v>7078</v>
      </c>
      <c r="C53">
        <v>2015</v>
      </c>
      <c r="D53">
        <v>9</v>
      </c>
      <c r="E53" s="6">
        <f t="shared" si="0"/>
        <v>42248</v>
      </c>
      <c r="F53" s="1">
        <v>718.72457999999995</v>
      </c>
      <c r="G53" s="1">
        <v>31424.59</v>
      </c>
      <c r="H53" s="1">
        <v>4748109.8600000003</v>
      </c>
      <c r="I53" s="1">
        <v>37411.85</v>
      </c>
      <c r="J53" s="7">
        <f t="shared" si="1"/>
        <v>1049.345160840332</v>
      </c>
      <c r="K53" s="1">
        <f t="shared" si="2"/>
        <v>1049.345160840332</v>
      </c>
      <c r="L53" s="13">
        <f t="shared" si="3"/>
        <v>0.54348902993821291</v>
      </c>
      <c r="M53" s="1">
        <v>0</v>
      </c>
      <c r="N53" s="1">
        <v>0</v>
      </c>
      <c r="O53" t="str">
        <f t="shared" si="4"/>
        <v>Producer</v>
      </c>
      <c r="P53" s="15">
        <f t="shared" si="5"/>
        <v>0.99822858333333331</v>
      </c>
    </row>
    <row r="54" spans="1:16" x14ac:dyDescent="0.35">
      <c r="A54" t="s">
        <v>2</v>
      </c>
      <c r="B54">
        <v>7078</v>
      </c>
      <c r="C54">
        <v>2015</v>
      </c>
      <c r="D54">
        <v>10</v>
      </c>
      <c r="E54" s="6">
        <f t="shared" si="0"/>
        <v>42278</v>
      </c>
      <c r="F54" s="1">
        <v>626.89180999999996</v>
      </c>
      <c r="G54" s="1">
        <v>29724.78</v>
      </c>
      <c r="H54" s="1">
        <v>4501570.0199999996</v>
      </c>
      <c r="I54" s="1">
        <v>38022.559999999998</v>
      </c>
      <c r="J54" s="7">
        <f t="shared" si="1"/>
        <v>1137.9869837508325</v>
      </c>
      <c r="K54" s="1">
        <f t="shared" si="2"/>
        <v>1137.9869837508325</v>
      </c>
      <c r="L54" s="13">
        <f t="shared" si="3"/>
        <v>0.56124063321157702</v>
      </c>
      <c r="M54" s="1">
        <v>0</v>
      </c>
      <c r="N54" s="1">
        <v>0</v>
      </c>
      <c r="O54" t="str">
        <f t="shared" si="4"/>
        <v>Producer</v>
      </c>
      <c r="P54" s="15">
        <f t="shared" si="5"/>
        <v>0.84259651881720421</v>
      </c>
    </row>
    <row r="55" spans="1:16" x14ac:dyDescent="0.35">
      <c r="A55" t="s">
        <v>2</v>
      </c>
      <c r="B55">
        <v>7078</v>
      </c>
      <c r="C55">
        <v>2015</v>
      </c>
      <c r="D55">
        <v>11</v>
      </c>
      <c r="E55" s="6">
        <f t="shared" si="0"/>
        <v>42309</v>
      </c>
      <c r="F55" s="1">
        <v>671.30820000000006</v>
      </c>
      <c r="G55" s="1">
        <v>36410.230000000003</v>
      </c>
      <c r="H55" s="1">
        <v>5558573.3499999996</v>
      </c>
      <c r="I55" s="1">
        <v>57058.61</v>
      </c>
      <c r="J55" s="7">
        <f t="shared" si="1"/>
        <v>1301.7054163795408</v>
      </c>
      <c r="K55" s="1">
        <f t="shared" si="2"/>
        <v>1301.7054163795408</v>
      </c>
      <c r="L55" s="13">
        <f t="shared" si="3"/>
        <v>0.61045595516109974</v>
      </c>
      <c r="M55" s="1">
        <v>0</v>
      </c>
      <c r="N55" s="1">
        <v>0</v>
      </c>
      <c r="O55" t="str">
        <f t="shared" si="4"/>
        <v>Producer</v>
      </c>
      <c r="P55" s="15">
        <f t="shared" si="5"/>
        <v>0.93237250000000005</v>
      </c>
    </row>
    <row r="56" spans="1:16" x14ac:dyDescent="0.35">
      <c r="A56" t="s">
        <v>2</v>
      </c>
      <c r="B56">
        <v>7078</v>
      </c>
      <c r="C56">
        <v>2015</v>
      </c>
      <c r="D56">
        <v>12</v>
      </c>
      <c r="E56" s="6">
        <f t="shared" si="0"/>
        <v>42339</v>
      </c>
      <c r="F56" s="1">
        <v>740.16666999999995</v>
      </c>
      <c r="G56" s="1">
        <v>35933.9</v>
      </c>
      <c r="H56" s="1">
        <v>5504665.46</v>
      </c>
      <c r="I56" s="1">
        <v>62976.28</v>
      </c>
      <c r="J56" s="7">
        <f t="shared" si="1"/>
        <v>1165.1613548067492</v>
      </c>
      <c r="K56" s="1">
        <f t="shared" si="2"/>
        <v>1165.1613548067492</v>
      </c>
      <c r="L56" s="13">
        <f t="shared" si="3"/>
        <v>0.6367017024941215</v>
      </c>
      <c r="M56" s="1">
        <v>0</v>
      </c>
      <c r="N56" s="1">
        <v>0</v>
      </c>
      <c r="O56" t="str">
        <f t="shared" si="4"/>
        <v>Producer</v>
      </c>
      <c r="P56" s="15">
        <f t="shared" si="5"/>
        <v>0.99484767473118274</v>
      </c>
    </row>
    <row r="57" spans="1:16" x14ac:dyDescent="0.35">
      <c r="A57" t="s">
        <v>2</v>
      </c>
      <c r="B57">
        <v>7078</v>
      </c>
      <c r="C57">
        <v>2016</v>
      </c>
      <c r="D57">
        <v>1</v>
      </c>
      <c r="E57" s="6">
        <f t="shared" si="0"/>
        <v>42370</v>
      </c>
      <c r="F57" s="1">
        <v>736.49999000000003</v>
      </c>
      <c r="G57" s="1">
        <v>31603.26</v>
      </c>
      <c r="H57" s="1">
        <v>4949940.78</v>
      </c>
      <c r="I57" s="1">
        <v>67980.66</v>
      </c>
      <c r="J57" s="7">
        <f t="shared" si="1"/>
        <v>1029.841480378024</v>
      </c>
      <c r="K57" s="1">
        <f t="shared" si="2"/>
        <v>1029.841480378024</v>
      </c>
      <c r="L57" s="13">
        <f t="shared" si="3"/>
        <v>0.68264695746060211</v>
      </c>
      <c r="M57" s="1">
        <v>0</v>
      </c>
      <c r="N57" s="1">
        <v>0</v>
      </c>
      <c r="O57" t="str">
        <f t="shared" si="4"/>
        <v>Producer</v>
      </c>
      <c r="P57" s="15">
        <f t="shared" si="5"/>
        <v>0.98991934139784954</v>
      </c>
    </row>
    <row r="58" spans="1:16" x14ac:dyDescent="0.35">
      <c r="A58" t="s">
        <v>2</v>
      </c>
      <c r="B58">
        <v>7078</v>
      </c>
      <c r="C58">
        <v>2016</v>
      </c>
      <c r="D58">
        <v>2</v>
      </c>
      <c r="E58" s="6">
        <f t="shared" si="0"/>
        <v>42401</v>
      </c>
      <c r="F58" s="1">
        <v>695.58333000000005</v>
      </c>
      <c r="G58" s="1">
        <v>25954.57</v>
      </c>
      <c r="H58" s="1">
        <v>4093286.56</v>
      </c>
      <c r="I58" s="1">
        <v>66610.490000000005</v>
      </c>
      <c r="J58" s="7">
        <f t="shared" si="1"/>
        <v>895.52128858522235</v>
      </c>
      <c r="K58" s="1">
        <f t="shared" si="2"/>
        <v>895.52128858522235</v>
      </c>
      <c r="L58" s="13">
        <f t="shared" si="3"/>
        <v>0.7196072686605508</v>
      </c>
      <c r="M58" s="1">
        <v>0</v>
      </c>
      <c r="N58" s="1">
        <v>0</v>
      </c>
      <c r="O58" t="str">
        <f t="shared" si="4"/>
        <v>Producer</v>
      </c>
      <c r="P58" s="15">
        <f t="shared" si="5"/>
        <v>0.99940133620689664</v>
      </c>
    </row>
    <row r="59" spans="1:16" x14ac:dyDescent="0.35">
      <c r="A59" t="s">
        <v>2</v>
      </c>
      <c r="B59">
        <v>7078</v>
      </c>
      <c r="C59">
        <v>2016</v>
      </c>
      <c r="D59">
        <v>3</v>
      </c>
      <c r="E59" s="6">
        <f t="shared" si="0"/>
        <v>42430</v>
      </c>
      <c r="F59" s="1">
        <v>743</v>
      </c>
      <c r="G59" s="1">
        <v>25023.66</v>
      </c>
      <c r="H59" s="1">
        <v>4032038.1</v>
      </c>
      <c r="I59" s="1">
        <v>76636.960000000006</v>
      </c>
      <c r="J59" s="7">
        <f t="shared" si="1"/>
        <v>808.30126514131905</v>
      </c>
      <c r="K59" s="1">
        <f t="shared" si="2"/>
        <v>808.30126514131905</v>
      </c>
      <c r="L59" s="13">
        <f t="shared" si="3"/>
        <v>0.75385099953157864</v>
      </c>
      <c r="M59" s="1">
        <v>0</v>
      </c>
      <c r="N59" s="1">
        <v>0</v>
      </c>
      <c r="O59" t="str">
        <f t="shared" si="4"/>
        <v>Producer</v>
      </c>
      <c r="P59" s="15">
        <f t="shared" si="5"/>
        <v>0.99865591397849462</v>
      </c>
    </row>
    <row r="60" spans="1:16" x14ac:dyDescent="0.35">
      <c r="A60" t="s">
        <v>2</v>
      </c>
      <c r="B60">
        <v>7078</v>
      </c>
      <c r="C60">
        <v>2016</v>
      </c>
      <c r="D60">
        <v>4</v>
      </c>
      <c r="E60" s="6">
        <f t="shared" si="0"/>
        <v>42461</v>
      </c>
      <c r="F60" s="1">
        <v>579.08331999999996</v>
      </c>
      <c r="G60" s="1">
        <v>13429</v>
      </c>
      <c r="H60" s="1">
        <v>2194427.0499999998</v>
      </c>
      <c r="I60" s="1">
        <v>57931.66</v>
      </c>
      <c r="J60" s="7">
        <f t="shared" si="1"/>
        <v>556.56239589149277</v>
      </c>
      <c r="K60" s="1">
        <f t="shared" si="2"/>
        <v>556.56239589149277</v>
      </c>
      <c r="L60" s="13">
        <f t="shared" si="3"/>
        <v>0.81181508130670321</v>
      </c>
      <c r="M60" s="1">
        <v>0</v>
      </c>
      <c r="N60" s="1">
        <v>0</v>
      </c>
      <c r="O60" t="str">
        <f t="shared" si="4"/>
        <v>Producer</v>
      </c>
      <c r="P60" s="15">
        <f t="shared" si="5"/>
        <v>0.80428238888888881</v>
      </c>
    </row>
    <row r="61" spans="1:16" x14ac:dyDescent="0.35">
      <c r="A61" t="s">
        <v>2</v>
      </c>
      <c r="B61">
        <v>7078</v>
      </c>
      <c r="C61">
        <v>2016</v>
      </c>
      <c r="D61">
        <v>5</v>
      </c>
      <c r="E61" s="6">
        <f t="shared" si="0"/>
        <v>42491</v>
      </c>
      <c r="F61" s="1">
        <v>744</v>
      </c>
      <c r="G61" s="1">
        <v>15528.75</v>
      </c>
      <c r="H61" s="1">
        <v>2450713.77</v>
      </c>
      <c r="I61" s="1">
        <v>73445.23</v>
      </c>
      <c r="J61" s="7">
        <f t="shared" si="1"/>
        <v>500.92741935483872</v>
      </c>
      <c r="K61" s="1">
        <f t="shared" si="2"/>
        <v>500.92741935483872</v>
      </c>
      <c r="L61" s="13">
        <f t="shared" si="3"/>
        <v>0.82546863701050577</v>
      </c>
      <c r="M61" s="1">
        <v>0</v>
      </c>
      <c r="N61" s="1">
        <v>0</v>
      </c>
      <c r="O61" t="str">
        <f t="shared" si="4"/>
        <v>Producer</v>
      </c>
      <c r="P61" s="15">
        <f t="shared" si="5"/>
        <v>1</v>
      </c>
    </row>
    <row r="62" spans="1:16" x14ac:dyDescent="0.35">
      <c r="A62" t="s">
        <v>2</v>
      </c>
      <c r="B62">
        <v>7078</v>
      </c>
      <c r="C62">
        <v>2016</v>
      </c>
      <c r="D62">
        <v>6</v>
      </c>
      <c r="E62" s="6">
        <f t="shared" si="0"/>
        <v>42522</v>
      </c>
      <c r="F62" s="1">
        <v>718.41666999999995</v>
      </c>
      <c r="G62" s="1">
        <v>14590.61</v>
      </c>
      <c r="H62" s="1">
        <v>2349131.2200000002</v>
      </c>
      <c r="I62" s="1">
        <v>71699.350000000006</v>
      </c>
      <c r="J62" s="7">
        <f t="shared" si="1"/>
        <v>487.42554929857073</v>
      </c>
      <c r="K62" s="1">
        <f t="shared" si="2"/>
        <v>487.42554929857073</v>
      </c>
      <c r="L62" s="13">
        <f t="shared" si="3"/>
        <v>0.83091184652304861</v>
      </c>
      <c r="M62" s="1">
        <v>0</v>
      </c>
      <c r="N62" s="1">
        <v>0</v>
      </c>
      <c r="O62" t="str">
        <f t="shared" si="4"/>
        <v>Producer</v>
      </c>
      <c r="P62" s="15">
        <f t="shared" si="5"/>
        <v>0.99780093055555552</v>
      </c>
    </row>
    <row r="63" spans="1:16" x14ac:dyDescent="0.35">
      <c r="A63" t="s">
        <v>2</v>
      </c>
      <c r="B63">
        <v>7078</v>
      </c>
      <c r="C63">
        <v>2016</v>
      </c>
      <c r="D63">
        <v>7</v>
      </c>
      <c r="E63" s="6">
        <f t="shared" si="0"/>
        <v>42552</v>
      </c>
      <c r="F63" s="1">
        <v>740.00100999999995</v>
      </c>
      <c r="G63" s="1">
        <v>14384.88</v>
      </c>
      <c r="H63" s="1">
        <v>2309447.4700000002</v>
      </c>
      <c r="I63" s="1">
        <v>77084.72</v>
      </c>
      <c r="J63" s="7">
        <f t="shared" si="1"/>
        <v>466.5360118900378</v>
      </c>
      <c r="K63" s="1">
        <f t="shared" si="2"/>
        <v>466.5360118900378</v>
      </c>
      <c r="L63" s="13">
        <f t="shared" si="3"/>
        <v>0.8427359472436744</v>
      </c>
      <c r="M63" s="1">
        <v>0</v>
      </c>
      <c r="N63" s="1">
        <v>0</v>
      </c>
      <c r="O63" t="str">
        <f t="shared" si="4"/>
        <v>Producer</v>
      </c>
      <c r="P63" s="15">
        <f t="shared" si="5"/>
        <v>0.99462501344086018</v>
      </c>
    </row>
    <row r="64" spans="1:16" x14ac:dyDescent="0.35">
      <c r="A64" t="s">
        <v>2</v>
      </c>
      <c r="B64">
        <v>7078</v>
      </c>
      <c r="C64">
        <v>2016</v>
      </c>
      <c r="D64">
        <v>8</v>
      </c>
      <c r="E64" s="6">
        <f t="shared" si="0"/>
        <v>42583</v>
      </c>
      <c r="F64" s="1">
        <v>743.66666999999995</v>
      </c>
      <c r="G64" s="1">
        <v>14583.73</v>
      </c>
      <c r="H64" s="1">
        <v>2341371.5499999998</v>
      </c>
      <c r="I64" s="1">
        <v>87762.19</v>
      </c>
      <c r="J64" s="7">
        <f t="shared" si="1"/>
        <v>470.6537675004314</v>
      </c>
      <c r="K64" s="1">
        <f t="shared" si="2"/>
        <v>470.6537675004314</v>
      </c>
      <c r="L64" s="13">
        <f t="shared" si="3"/>
        <v>0.85750550681453641</v>
      </c>
      <c r="M64" s="1">
        <v>0</v>
      </c>
      <c r="N64" s="1">
        <v>0</v>
      </c>
      <c r="O64" t="str">
        <f t="shared" si="4"/>
        <v>Producer</v>
      </c>
      <c r="P64" s="15">
        <f t="shared" si="5"/>
        <v>0.9995519758064515</v>
      </c>
    </row>
    <row r="65" spans="1:16" x14ac:dyDescent="0.35">
      <c r="A65" t="s">
        <v>2</v>
      </c>
      <c r="B65">
        <v>7078</v>
      </c>
      <c r="C65">
        <v>2016</v>
      </c>
      <c r="D65">
        <v>9</v>
      </c>
      <c r="E65" s="6">
        <f t="shared" si="0"/>
        <v>42614</v>
      </c>
      <c r="F65" s="1">
        <v>392.27514000000002</v>
      </c>
      <c r="G65" s="1">
        <v>8609.18</v>
      </c>
      <c r="H65" s="1">
        <v>1458816.35</v>
      </c>
      <c r="I65" s="1">
        <v>46779.39</v>
      </c>
      <c r="J65" s="7">
        <f t="shared" si="1"/>
        <v>526.72295267041386</v>
      </c>
      <c r="K65" s="1">
        <f t="shared" si="2"/>
        <v>526.72295267041386</v>
      </c>
      <c r="L65" s="13">
        <f t="shared" si="3"/>
        <v>0.8445675705294432</v>
      </c>
      <c r="M65" s="1">
        <v>0</v>
      </c>
      <c r="N65" s="1">
        <v>0</v>
      </c>
      <c r="O65" t="str">
        <f t="shared" si="4"/>
        <v>Producer</v>
      </c>
      <c r="P65" s="15">
        <f t="shared" si="5"/>
        <v>0.54482658333333334</v>
      </c>
    </row>
    <row r="66" spans="1:16" x14ac:dyDescent="0.35">
      <c r="A66" t="s">
        <v>3</v>
      </c>
      <c r="B66">
        <v>5599</v>
      </c>
      <c r="C66">
        <v>2008</v>
      </c>
      <c r="D66">
        <v>2</v>
      </c>
      <c r="E66" s="6">
        <f t="shared" si="0"/>
        <v>39479</v>
      </c>
      <c r="F66" s="1">
        <v>406.62499000000003</v>
      </c>
      <c r="G66" s="1">
        <v>49091.06</v>
      </c>
      <c r="H66" s="1">
        <v>7068009.29</v>
      </c>
      <c r="I66" s="1">
        <v>412.61</v>
      </c>
      <c r="J66" s="7">
        <f t="shared" si="1"/>
        <v>2897.4742550869782</v>
      </c>
      <c r="K66" s="1">
        <f t="shared" si="2"/>
        <v>2897.4742550869782</v>
      </c>
      <c r="L66" s="13">
        <f t="shared" si="3"/>
        <v>8.3349375914957419E-3</v>
      </c>
      <c r="M66" s="1">
        <v>0</v>
      </c>
      <c r="N66" s="1">
        <v>0</v>
      </c>
      <c r="O66" t="str">
        <f t="shared" si="4"/>
        <v>Producer</v>
      </c>
      <c r="P66" s="15">
        <f t="shared" si="5"/>
        <v>0.58423130747126439</v>
      </c>
    </row>
    <row r="67" spans="1:16" x14ac:dyDescent="0.35">
      <c r="A67" t="s">
        <v>3</v>
      </c>
      <c r="B67">
        <v>5599</v>
      </c>
      <c r="C67">
        <v>2008</v>
      </c>
      <c r="D67">
        <v>3</v>
      </c>
      <c r="E67" s="6">
        <f t="shared" ref="E67:E130" si="6">DATE(C67, D67, 1)</f>
        <v>39508</v>
      </c>
      <c r="F67" s="1">
        <v>655.10834</v>
      </c>
      <c r="G67" s="1">
        <v>83361.259999999995</v>
      </c>
      <c r="H67" s="1">
        <v>12191170.91</v>
      </c>
      <c r="I67" s="1">
        <v>27.42</v>
      </c>
      <c r="J67" s="7">
        <f t="shared" ref="J67:J130" si="7">IF(F67&gt;0,G67/(F67/24),"")</f>
        <v>3053.9532438252882</v>
      </c>
      <c r="K67" s="1">
        <f t="shared" ref="K67:K130" si="8">+J67</f>
        <v>3053.9532438252882</v>
      </c>
      <c r="L67" s="13">
        <f t="shared" ref="L67:L130" si="9">+IF((G67+I67)&gt;0,I67/(G67+I67),"")</f>
        <v>3.2882160983960896E-4</v>
      </c>
      <c r="M67" s="1">
        <v>0</v>
      </c>
      <c r="N67" s="1">
        <v>0</v>
      </c>
      <c r="O67" t="str">
        <f t="shared" ref="O67:O130" si="10">IF(F67&gt;0,IF(N(N67)&gt;0,"Injector",IF(N(G67)&gt;0,"Producer","Inactive")),"No production")</f>
        <v>Producer</v>
      </c>
      <c r="P67" s="15">
        <f t="shared" ref="P67:P130" si="11">+IF(F67&gt;0,F67/(DAY(EOMONTH(E67,0))*24),"")</f>
        <v>0.88052196236559144</v>
      </c>
    </row>
    <row r="68" spans="1:16" x14ac:dyDescent="0.35">
      <c r="A68" t="s">
        <v>3</v>
      </c>
      <c r="B68">
        <v>5599</v>
      </c>
      <c r="C68">
        <v>2008</v>
      </c>
      <c r="D68">
        <v>4</v>
      </c>
      <c r="E68" s="6">
        <f t="shared" si="6"/>
        <v>39539</v>
      </c>
      <c r="F68" s="1">
        <v>613.64666</v>
      </c>
      <c r="G68" s="1">
        <v>74532.45</v>
      </c>
      <c r="H68" s="1">
        <v>11506440.74</v>
      </c>
      <c r="I68" s="1">
        <v>482.05</v>
      </c>
      <c r="J68" s="7">
        <f t="shared" si="7"/>
        <v>2914.9980218257847</v>
      </c>
      <c r="K68" s="1">
        <f t="shared" si="8"/>
        <v>2914.9980218257847</v>
      </c>
      <c r="L68" s="13">
        <f t="shared" si="9"/>
        <v>6.4260909557485556E-3</v>
      </c>
      <c r="M68" s="1">
        <v>0</v>
      </c>
      <c r="N68" s="1">
        <v>0</v>
      </c>
      <c r="O68" t="str">
        <f t="shared" si="10"/>
        <v>Producer</v>
      </c>
      <c r="P68" s="15">
        <f t="shared" si="11"/>
        <v>0.85228702777777776</v>
      </c>
    </row>
    <row r="69" spans="1:16" x14ac:dyDescent="0.35">
      <c r="A69" t="s">
        <v>3</v>
      </c>
      <c r="B69">
        <v>5599</v>
      </c>
      <c r="C69">
        <v>2008</v>
      </c>
      <c r="D69">
        <v>5</v>
      </c>
      <c r="E69" s="6">
        <f t="shared" si="6"/>
        <v>39569</v>
      </c>
      <c r="F69" s="1">
        <v>716.19167000000004</v>
      </c>
      <c r="G69" s="1">
        <v>125478.56</v>
      </c>
      <c r="H69" s="1">
        <v>19091871.52</v>
      </c>
      <c r="I69" s="1">
        <v>16280.12</v>
      </c>
      <c r="J69" s="7">
        <f t="shared" si="7"/>
        <v>4204.8596292665616</v>
      </c>
      <c r="K69" s="1">
        <f t="shared" si="8"/>
        <v>4204.8596292665616</v>
      </c>
      <c r="L69" s="13">
        <f t="shared" si="9"/>
        <v>0.11484390232753297</v>
      </c>
      <c r="M69" s="1">
        <v>0</v>
      </c>
      <c r="N69" s="1">
        <v>0</v>
      </c>
      <c r="O69" t="str">
        <f t="shared" si="10"/>
        <v>Producer</v>
      </c>
      <c r="P69" s="15">
        <f t="shared" si="11"/>
        <v>0.96262321236559145</v>
      </c>
    </row>
    <row r="70" spans="1:16" x14ac:dyDescent="0.35">
      <c r="A70" t="s">
        <v>3</v>
      </c>
      <c r="B70">
        <v>5599</v>
      </c>
      <c r="C70">
        <v>2008</v>
      </c>
      <c r="D70">
        <v>6</v>
      </c>
      <c r="E70" s="6">
        <f t="shared" si="6"/>
        <v>39600</v>
      </c>
      <c r="F70" s="1">
        <v>675.91669000000002</v>
      </c>
      <c r="G70" s="1">
        <v>143786.85</v>
      </c>
      <c r="H70" s="1">
        <v>21512333.93</v>
      </c>
      <c r="I70" s="1">
        <v>474.37</v>
      </c>
      <c r="J70" s="7">
        <f t="shared" si="7"/>
        <v>5105.4877783828651</v>
      </c>
      <c r="K70" s="1">
        <f t="shared" si="8"/>
        <v>5105.4877783828651</v>
      </c>
      <c r="L70" s="13">
        <f t="shared" si="9"/>
        <v>3.2882710960020997E-3</v>
      </c>
      <c r="M70" s="1">
        <v>0</v>
      </c>
      <c r="N70" s="1">
        <v>0</v>
      </c>
      <c r="O70" t="str">
        <f t="shared" si="10"/>
        <v>Producer</v>
      </c>
      <c r="P70" s="15">
        <f t="shared" si="11"/>
        <v>0.93877318055555559</v>
      </c>
    </row>
    <row r="71" spans="1:16" x14ac:dyDescent="0.35">
      <c r="A71" t="s">
        <v>3</v>
      </c>
      <c r="B71">
        <v>5599</v>
      </c>
      <c r="C71">
        <v>2008</v>
      </c>
      <c r="D71">
        <v>7</v>
      </c>
      <c r="E71" s="6">
        <f t="shared" si="6"/>
        <v>39630</v>
      </c>
      <c r="F71" s="1">
        <v>710.74165000000005</v>
      </c>
      <c r="G71" s="1">
        <v>114994.61</v>
      </c>
      <c r="H71" s="1">
        <v>17116441.780000001</v>
      </c>
      <c r="I71" s="1">
        <v>290.02</v>
      </c>
      <c r="J71" s="7">
        <f t="shared" si="7"/>
        <v>3883.085562806119</v>
      </c>
      <c r="K71" s="1">
        <f t="shared" si="8"/>
        <v>3883.085562806119</v>
      </c>
      <c r="L71" s="13">
        <f t="shared" si="9"/>
        <v>2.5156866097414718E-3</v>
      </c>
      <c r="M71" s="1">
        <v>0</v>
      </c>
      <c r="N71" s="1">
        <v>0</v>
      </c>
      <c r="O71" t="str">
        <f t="shared" si="10"/>
        <v>Producer</v>
      </c>
      <c r="P71" s="15">
        <f t="shared" si="11"/>
        <v>0.95529791666666675</v>
      </c>
    </row>
    <row r="72" spans="1:16" x14ac:dyDescent="0.35">
      <c r="A72" t="s">
        <v>3</v>
      </c>
      <c r="B72">
        <v>5599</v>
      </c>
      <c r="C72">
        <v>2008</v>
      </c>
      <c r="D72">
        <v>8</v>
      </c>
      <c r="E72" s="6">
        <f t="shared" si="6"/>
        <v>39661</v>
      </c>
      <c r="F72" s="1">
        <v>672.83334000000002</v>
      </c>
      <c r="G72" s="1">
        <v>97822.46</v>
      </c>
      <c r="H72" s="1">
        <v>14143008.24</v>
      </c>
      <c r="I72" s="1">
        <v>354.18</v>
      </c>
      <c r="J72" s="7">
        <f t="shared" si="7"/>
        <v>3489.3322022359953</v>
      </c>
      <c r="K72" s="1">
        <f t="shared" si="8"/>
        <v>3489.3322022359953</v>
      </c>
      <c r="L72" s="13">
        <f t="shared" si="9"/>
        <v>3.6075791552858194E-3</v>
      </c>
      <c r="M72" s="1">
        <v>0</v>
      </c>
      <c r="N72" s="1">
        <v>0</v>
      </c>
      <c r="O72" t="str">
        <f t="shared" si="10"/>
        <v>Producer</v>
      </c>
      <c r="P72" s="15">
        <f t="shared" si="11"/>
        <v>0.90434588709677421</v>
      </c>
    </row>
    <row r="73" spans="1:16" x14ac:dyDescent="0.35">
      <c r="A73" t="s">
        <v>3</v>
      </c>
      <c r="B73">
        <v>5599</v>
      </c>
      <c r="C73">
        <v>2008</v>
      </c>
      <c r="D73">
        <v>9</v>
      </c>
      <c r="E73" s="6">
        <f t="shared" si="6"/>
        <v>39692</v>
      </c>
      <c r="F73" s="1">
        <v>567.97499000000005</v>
      </c>
      <c r="G73" s="1">
        <v>77666.95</v>
      </c>
      <c r="H73" s="1">
        <v>11185944.41</v>
      </c>
      <c r="I73" s="1">
        <v>188.39</v>
      </c>
      <c r="J73" s="7">
        <f t="shared" si="7"/>
        <v>3281.8466179294264</v>
      </c>
      <c r="K73" s="1">
        <f t="shared" si="8"/>
        <v>3281.8466179294264</v>
      </c>
      <c r="L73" s="13">
        <f t="shared" si="9"/>
        <v>2.4197441049001907E-3</v>
      </c>
      <c r="M73" s="1">
        <v>0</v>
      </c>
      <c r="N73" s="1">
        <v>0</v>
      </c>
      <c r="O73" t="str">
        <f t="shared" si="10"/>
        <v>Producer</v>
      </c>
      <c r="P73" s="15">
        <f t="shared" si="11"/>
        <v>0.78885415277777782</v>
      </c>
    </row>
    <row r="74" spans="1:16" x14ac:dyDescent="0.35">
      <c r="A74" t="s">
        <v>3</v>
      </c>
      <c r="B74">
        <v>5599</v>
      </c>
      <c r="C74">
        <v>2008</v>
      </c>
      <c r="D74">
        <v>10</v>
      </c>
      <c r="E74" s="6">
        <f t="shared" si="6"/>
        <v>39722</v>
      </c>
      <c r="F74" s="1">
        <v>737.50000999999997</v>
      </c>
      <c r="G74" s="1">
        <v>94357.23</v>
      </c>
      <c r="H74" s="1">
        <v>13430833.949999999</v>
      </c>
      <c r="I74" s="1">
        <v>624.04999999999995</v>
      </c>
      <c r="J74" s="7">
        <f t="shared" si="7"/>
        <v>3070.6081210765001</v>
      </c>
      <c r="K74" s="1">
        <f t="shared" si="8"/>
        <v>3070.6081210765001</v>
      </c>
      <c r="L74" s="13">
        <f t="shared" si="9"/>
        <v>6.5702420519074909E-3</v>
      </c>
      <c r="M74" s="1">
        <v>0</v>
      </c>
      <c r="N74" s="1">
        <v>0</v>
      </c>
      <c r="O74" t="str">
        <f t="shared" si="10"/>
        <v>Producer</v>
      </c>
      <c r="P74" s="15">
        <f t="shared" si="11"/>
        <v>0.99126345430107521</v>
      </c>
    </row>
    <row r="75" spans="1:16" x14ac:dyDescent="0.35">
      <c r="A75" t="s">
        <v>3</v>
      </c>
      <c r="B75">
        <v>5599</v>
      </c>
      <c r="C75">
        <v>2008</v>
      </c>
      <c r="D75">
        <v>11</v>
      </c>
      <c r="E75" s="6">
        <f t="shared" si="6"/>
        <v>39753</v>
      </c>
      <c r="F75" s="1">
        <v>712.66666999999995</v>
      </c>
      <c r="G75" s="1">
        <v>145915.56</v>
      </c>
      <c r="H75" s="1">
        <v>20837122.260000002</v>
      </c>
      <c r="I75" s="1">
        <v>2390.31</v>
      </c>
      <c r="J75" s="7">
        <f t="shared" si="7"/>
        <v>4913.9009685972824</v>
      </c>
      <c r="K75" s="1">
        <f t="shared" si="8"/>
        <v>4913.9009685972824</v>
      </c>
      <c r="L75" s="13">
        <f t="shared" si="9"/>
        <v>1.6117433517634873E-2</v>
      </c>
      <c r="M75" s="1">
        <v>0</v>
      </c>
      <c r="N75" s="1">
        <v>0</v>
      </c>
      <c r="O75" t="str">
        <f t="shared" si="10"/>
        <v>Producer</v>
      </c>
      <c r="P75" s="15">
        <f t="shared" si="11"/>
        <v>0.98981481944444438</v>
      </c>
    </row>
    <row r="76" spans="1:16" x14ac:dyDescent="0.35">
      <c r="A76" t="s">
        <v>3</v>
      </c>
      <c r="B76">
        <v>5599</v>
      </c>
      <c r="C76">
        <v>2008</v>
      </c>
      <c r="D76">
        <v>12</v>
      </c>
      <c r="E76" s="6">
        <f t="shared" si="6"/>
        <v>39783</v>
      </c>
      <c r="F76" s="1">
        <v>744</v>
      </c>
      <c r="G76" s="1">
        <v>166439.67000000001</v>
      </c>
      <c r="H76" s="1">
        <v>24106361.739999998</v>
      </c>
      <c r="I76" s="1">
        <v>1003.31</v>
      </c>
      <c r="J76" s="7">
        <f t="shared" si="7"/>
        <v>5369.021612903226</v>
      </c>
      <c r="K76" s="1">
        <f t="shared" si="8"/>
        <v>5369.021612903226</v>
      </c>
      <c r="L76" s="13">
        <f t="shared" si="9"/>
        <v>5.9919502149328677E-3</v>
      </c>
      <c r="M76" s="1">
        <v>0</v>
      </c>
      <c r="N76" s="1">
        <v>0</v>
      </c>
      <c r="O76" t="str">
        <f t="shared" si="10"/>
        <v>Producer</v>
      </c>
      <c r="P76" s="15">
        <f t="shared" si="11"/>
        <v>1</v>
      </c>
    </row>
    <row r="77" spans="1:16" x14ac:dyDescent="0.35">
      <c r="A77" t="s">
        <v>3</v>
      </c>
      <c r="B77">
        <v>5599</v>
      </c>
      <c r="C77">
        <v>2009</v>
      </c>
      <c r="D77">
        <v>1</v>
      </c>
      <c r="E77" s="6">
        <f t="shared" si="6"/>
        <v>39814</v>
      </c>
      <c r="F77" s="1">
        <v>740.83331999999996</v>
      </c>
      <c r="G77" s="1">
        <v>153677.16</v>
      </c>
      <c r="H77" s="1">
        <v>22255224.02</v>
      </c>
      <c r="I77" s="1">
        <v>389.76</v>
      </c>
      <c r="J77" s="7">
        <f t="shared" si="7"/>
        <v>4978.5177588934584</v>
      </c>
      <c r="K77" s="1">
        <f t="shared" si="8"/>
        <v>4978.5177588934584</v>
      </c>
      <c r="L77" s="13">
        <f t="shared" si="9"/>
        <v>2.5298097735711208E-3</v>
      </c>
      <c r="M77" s="1">
        <v>0</v>
      </c>
      <c r="N77" s="1">
        <v>0</v>
      </c>
      <c r="O77" t="str">
        <f t="shared" si="10"/>
        <v>Producer</v>
      </c>
      <c r="P77" s="15">
        <f t="shared" si="11"/>
        <v>0.99574370967741932</v>
      </c>
    </row>
    <row r="78" spans="1:16" x14ac:dyDescent="0.35">
      <c r="A78" t="s">
        <v>3</v>
      </c>
      <c r="B78">
        <v>5599</v>
      </c>
      <c r="C78">
        <v>2009</v>
      </c>
      <c r="D78">
        <v>2</v>
      </c>
      <c r="E78" s="6">
        <f t="shared" si="6"/>
        <v>39845</v>
      </c>
      <c r="F78" s="1">
        <v>656.30834000000004</v>
      </c>
      <c r="G78" s="1">
        <v>121905.01</v>
      </c>
      <c r="H78" s="1">
        <v>17427051.539999999</v>
      </c>
      <c r="I78" s="1">
        <v>0</v>
      </c>
      <c r="J78" s="7">
        <f t="shared" si="7"/>
        <v>4457.844067622239</v>
      </c>
      <c r="K78" s="1">
        <f t="shared" si="8"/>
        <v>4457.844067622239</v>
      </c>
      <c r="L78" s="13">
        <f t="shared" si="9"/>
        <v>0</v>
      </c>
      <c r="M78" s="1">
        <v>0</v>
      </c>
      <c r="N78" s="1">
        <v>0</v>
      </c>
      <c r="O78" t="str">
        <f t="shared" si="10"/>
        <v>Producer</v>
      </c>
      <c r="P78" s="15">
        <f t="shared" si="11"/>
        <v>0.97664931547619049</v>
      </c>
    </row>
    <row r="79" spans="1:16" x14ac:dyDescent="0.35">
      <c r="A79" t="s">
        <v>3</v>
      </c>
      <c r="B79">
        <v>5599</v>
      </c>
      <c r="C79">
        <v>2009</v>
      </c>
      <c r="D79">
        <v>3</v>
      </c>
      <c r="E79" s="6">
        <f t="shared" si="6"/>
        <v>39873</v>
      </c>
      <c r="F79" s="1">
        <v>506.33334000000002</v>
      </c>
      <c r="G79" s="1">
        <v>92958.71</v>
      </c>
      <c r="H79" s="1">
        <v>13123546.99</v>
      </c>
      <c r="I79" s="1">
        <v>0</v>
      </c>
      <c r="J79" s="7">
        <f t="shared" si="7"/>
        <v>4406.206077600973</v>
      </c>
      <c r="K79" s="1">
        <f t="shared" si="8"/>
        <v>4406.206077600973</v>
      </c>
      <c r="L79" s="13">
        <f t="shared" si="9"/>
        <v>0</v>
      </c>
      <c r="M79" s="1">
        <v>0</v>
      </c>
      <c r="N79" s="1">
        <v>0</v>
      </c>
      <c r="O79" t="str">
        <f t="shared" si="10"/>
        <v>Producer</v>
      </c>
      <c r="P79" s="15">
        <f t="shared" si="11"/>
        <v>0.68055556451612909</v>
      </c>
    </row>
    <row r="80" spans="1:16" x14ac:dyDescent="0.35">
      <c r="A80" t="s">
        <v>3</v>
      </c>
      <c r="B80">
        <v>5599</v>
      </c>
      <c r="C80">
        <v>2009</v>
      </c>
      <c r="D80">
        <v>4</v>
      </c>
      <c r="E80" s="6">
        <f t="shared" si="6"/>
        <v>39904</v>
      </c>
      <c r="F80" s="1">
        <v>719.16666999999995</v>
      </c>
      <c r="G80" s="1">
        <v>150955.68</v>
      </c>
      <c r="H80" s="1">
        <v>20931107.809999999</v>
      </c>
      <c r="I80" s="1">
        <v>1246.29</v>
      </c>
      <c r="J80" s="7">
        <f t="shared" si="7"/>
        <v>5037.6866325020319</v>
      </c>
      <c r="K80" s="1">
        <f t="shared" si="8"/>
        <v>5037.6866325020319</v>
      </c>
      <c r="L80" s="13">
        <f t="shared" si="9"/>
        <v>8.1883959846249035E-3</v>
      </c>
      <c r="M80" s="1">
        <v>0</v>
      </c>
      <c r="N80" s="1">
        <v>0</v>
      </c>
      <c r="O80" t="str">
        <f t="shared" si="10"/>
        <v>Producer</v>
      </c>
      <c r="P80" s="15">
        <f t="shared" si="11"/>
        <v>0.99884259722222213</v>
      </c>
    </row>
    <row r="81" spans="1:16" x14ac:dyDescent="0.35">
      <c r="A81" t="s">
        <v>3</v>
      </c>
      <c r="B81">
        <v>5599</v>
      </c>
      <c r="C81">
        <v>2009</v>
      </c>
      <c r="D81">
        <v>5</v>
      </c>
      <c r="E81" s="6">
        <f t="shared" si="6"/>
        <v>39934</v>
      </c>
      <c r="F81" s="1">
        <v>695.16665999999998</v>
      </c>
      <c r="G81" s="1">
        <v>141039.01</v>
      </c>
      <c r="H81" s="1">
        <v>19366853.43</v>
      </c>
      <c r="I81" s="1">
        <v>3106.49</v>
      </c>
      <c r="J81" s="7">
        <f t="shared" si="7"/>
        <v>4869.2442183576532</v>
      </c>
      <c r="K81" s="1">
        <f t="shared" si="8"/>
        <v>4869.2442183576532</v>
      </c>
      <c r="L81" s="13">
        <f t="shared" si="9"/>
        <v>2.1551071660232193E-2</v>
      </c>
      <c r="M81" s="1">
        <v>0</v>
      </c>
      <c r="N81" s="1">
        <v>0</v>
      </c>
      <c r="O81" t="str">
        <f t="shared" si="10"/>
        <v>Producer</v>
      </c>
      <c r="P81" s="15">
        <f t="shared" si="11"/>
        <v>0.93436379032258066</v>
      </c>
    </row>
    <row r="82" spans="1:16" x14ac:dyDescent="0.35">
      <c r="A82" t="s">
        <v>3</v>
      </c>
      <c r="B82">
        <v>5599</v>
      </c>
      <c r="C82">
        <v>2009</v>
      </c>
      <c r="D82">
        <v>6</v>
      </c>
      <c r="E82" s="6">
        <f t="shared" si="6"/>
        <v>39965</v>
      </c>
      <c r="F82" s="1">
        <v>715.31665999999996</v>
      </c>
      <c r="G82" s="1">
        <v>132429.71</v>
      </c>
      <c r="H82" s="1">
        <v>17787475.649999999</v>
      </c>
      <c r="I82" s="1">
        <v>2658.63</v>
      </c>
      <c r="J82" s="7">
        <f t="shared" si="7"/>
        <v>4443.2252423702812</v>
      </c>
      <c r="K82" s="1">
        <f t="shared" si="8"/>
        <v>4443.2252423702812</v>
      </c>
      <c r="L82" s="13">
        <f t="shared" si="9"/>
        <v>1.9680677103590141E-2</v>
      </c>
      <c r="M82" s="1">
        <v>0</v>
      </c>
      <c r="N82" s="1">
        <v>0</v>
      </c>
      <c r="O82" t="str">
        <f t="shared" si="10"/>
        <v>Producer</v>
      </c>
      <c r="P82" s="15">
        <f t="shared" si="11"/>
        <v>0.99349536111111103</v>
      </c>
    </row>
    <row r="83" spans="1:16" x14ac:dyDescent="0.35">
      <c r="A83" t="s">
        <v>3</v>
      </c>
      <c r="B83">
        <v>5599</v>
      </c>
      <c r="C83">
        <v>2009</v>
      </c>
      <c r="D83">
        <v>7</v>
      </c>
      <c r="E83" s="6">
        <f t="shared" si="6"/>
        <v>39995</v>
      </c>
      <c r="F83" s="1">
        <v>742.16665999999998</v>
      </c>
      <c r="G83" s="1">
        <v>106105.25</v>
      </c>
      <c r="H83" s="1">
        <v>14721967.199999999</v>
      </c>
      <c r="I83" s="1">
        <v>3289.44</v>
      </c>
      <c r="J83" s="7">
        <f t="shared" si="7"/>
        <v>3431.2050611381546</v>
      </c>
      <c r="K83" s="1">
        <f t="shared" si="8"/>
        <v>3431.2050611381546</v>
      </c>
      <c r="L83" s="13">
        <f t="shared" si="9"/>
        <v>3.006946680867234E-2</v>
      </c>
      <c r="M83" s="1">
        <v>0</v>
      </c>
      <c r="N83" s="1">
        <v>0</v>
      </c>
      <c r="O83" t="str">
        <f t="shared" si="10"/>
        <v>Producer</v>
      </c>
      <c r="P83" s="15">
        <f t="shared" si="11"/>
        <v>0.99753583333333329</v>
      </c>
    </row>
    <row r="84" spans="1:16" x14ac:dyDescent="0.35">
      <c r="A84" t="s">
        <v>3</v>
      </c>
      <c r="B84">
        <v>5599</v>
      </c>
      <c r="C84">
        <v>2009</v>
      </c>
      <c r="D84">
        <v>8</v>
      </c>
      <c r="E84" s="6">
        <f t="shared" si="6"/>
        <v>40026</v>
      </c>
      <c r="F84" s="1">
        <v>589.07500000000005</v>
      </c>
      <c r="G84" s="1">
        <v>112414.27</v>
      </c>
      <c r="H84" s="1">
        <v>15676349.960000001</v>
      </c>
      <c r="I84" s="1">
        <v>5024.01</v>
      </c>
      <c r="J84" s="7">
        <f t="shared" si="7"/>
        <v>4579.9643169375713</v>
      </c>
      <c r="K84" s="1">
        <f t="shared" si="8"/>
        <v>4579.9643169375713</v>
      </c>
      <c r="L84" s="13">
        <f t="shared" si="9"/>
        <v>4.2780003249366393E-2</v>
      </c>
      <c r="M84" s="1">
        <v>0</v>
      </c>
      <c r="N84" s="1">
        <v>0</v>
      </c>
      <c r="O84" t="str">
        <f t="shared" si="10"/>
        <v>Producer</v>
      </c>
      <c r="P84" s="15">
        <f t="shared" si="11"/>
        <v>0.79176747311827966</v>
      </c>
    </row>
    <row r="85" spans="1:16" x14ac:dyDescent="0.35">
      <c r="A85" t="s">
        <v>3</v>
      </c>
      <c r="B85">
        <v>5599</v>
      </c>
      <c r="C85">
        <v>2009</v>
      </c>
      <c r="D85">
        <v>9</v>
      </c>
      <c r="E85" s="6">
        <f t="shared" si="6"/>
        <v>40057</v>
      </c>
      <c r="F85" s="1">
        <v>493.25</v>
      </c>
      <c r="G85" s="1">
        <v>90098.89</v>
      </c>
      <c r="H85" s="1">
        <v>12553421.689999999</v>
      </c>
      <c r="I85" s="1">
        <v>2235.08</v>
      </c>
      <c r="J85" s="7">
        <f t="shared" si="7"/>
        <v>4383.9297719209326</v>
      </c>
      <c r="K85" s="1">
        <f t="shared" si="8"/>
        <v>4383.9297719209326</v>
      </c>
      <c r="L85" s="13">
        <f t="shared" si="9"/>
        <v>2.4206475688200127E-2</v>
      </c>
      <c r="M85" s="1">
        <v>0</v>
      </c>
      <c r="N85" s="1">
        <v>0</v>
      </c>
      <c r="O85" t="str">
        <f t="shared" si="10"/>
        <v>Producer</v>
      </c>
      <c r="P85" s="15">
        <f t="shared" si="11"/>
        <v>0.6850694444444444</v>
      </c>
    </row>
    <row r="86" spans="1:16" x14ac:dyDescent="0.35">
      <c r="A86" t="s">
        <v>3</v>
      </c>
      <c r="B86">
        <v>5599</v>
      </c>
      <c r="C86">
        <v>2009</v>
      </c>
      <c r="D86">
        <v>10</v>
      </c>
      <c r="E86" s="6">
        <f t="shared" si="6"/>
        <v>40087</v>
      </c>
      <c r="F86" s="1">
        <v>683.74166000000002</v>
      </c>
      <c r="G86" s="1">
        <v>126939.65</v>
      </c>
      <c r="H86" s="1">
        <v>17819694.280000001</v>
      </c>
      <c r="I86" s="1">
        <v>6812.79</v>
      </c>
      <c r="J86" s="7">
        <f t="shared" si="7"/>
        <v>4455.7056827574315</v>
      </c>
      <c r="K86" s="1">
        <f t="shared" si="8"/>
        <v>4455.7056827574315</v>
      </c>
      <c r="L86" s="13">
        <f t="shared" si="9"/>
        <v>5.09358184418916E-2</v>
      </c>
      <c r="M86" s="1">
        <v>0</v>
      </c>
      <c r="N86" s="1">
        <v>0</v>
      </c>
      <c r="O86" t="str">
        <f t="shared" si="10"/>
        <v>Producer</v>
      </c>
      <c r="P86" s="15">
        <f t="shared" si="11"/>
        <v>0.91900760752688171</v>
      </c>
    </row>
    <row r="87" spans="1:16" x14ac:dyDescent="0.35">
      <c r="A87" t="s">
        <v>3</v>
      </c>
      <c r="B87">
        <v>5599</v>
      </c>
      <c r="C87">
        <v>2009</v>
      </c>
      <c r="D87">
        <v>11</v>
      </c>
      <c r="E87" s="6">
        <f t="shared" si="6"/>
        <v>40118</v>
      </c>
      <c r="F87" s="1">
        <v>705.75000999999997</v>
      </c>
      <c r="G87" s="1">
        <v>136015.67999999999</v>
      </c>
      <c r="H87" s="1">
        <v>19181583.579999998</v>
      </c>
      <c r="I87" s="1">
        <v>11286.87</v>
      </c>
      <c r="J87" s="7">
        <f t="shared" si="7"/>
        <v>4625.4003170329388</v>
      </c>
      <c r="K87" s="1">
        <f t="shared" si="8"/>
        <v>4625.4003170329388</v>
      </c>
      <c r="L87" s="13">
        <f t="shared" si="9"/>
        <v>7.6623724436542348E-2</v>
      </c>
      <c r="M87" s="1">
        <v>0</v>
      </c>
      <c r="N87" s="1">
        <v>0</v>
      </c>
      <c r="O87" t="str">
        <f t="shared" si="10"/>
        <v>Producer</v>
      </c>
      <c r="P87" s="15">
        <f t="shared" si="11"/>
        <v>0.98020834722222216</v>
      </c>
    </row>
    <row r="88" spans="1:16" x14ac:dyDescent="0.35">
      <c r="A88" t="s">
        <v>3</v>
      </c>
      <c r="B88">
        <v>5599</v>
      </c>
      <c r="C88">
        <v>2009</v>
      </c>
      <c r="D88">
        <v>12</v>
      </c>
      <c r="E88" s="6">
        <f t="shared" si="6"/>
        <v>40148</v>
      </c>
      <c r="F88" s="1">
        <v>728.5</v>
      </c>
      <c r="G88" s="1">
        <v>158001.51999999999</v>
      </c>
      <c r="H88" s="1">
        <v>22160862.449999999</v>
      </c>
      <c r="I88" s="1">
        <v>17321.2</v>
      </c>
      <c r="J88" s="7">
        <f t="shared" si="7"/>
        <v>5205.2662731640348</v>
      </c>
      <c r="K88" s="1">
        <f t="shared" si="8"/>
        <v>5205.2662731640348</v>
      </c>
      <c r="L88" s="13">
        <f t="shared" si="9"/>
        <v>9.8796094425183459E-2</v>
      </c>
      <c r="M88" s="1">
        <v>0</v>
      </c>
      <c r="N88" s="1">
        <v>0</v>
      </c>
      <c r="O88" t="str">
        <f t="shared" si="10"/>
        <v>Producer</v>
      </c>
      <c r="P88" s="15">
        <f t="shared" si="11"/>
        <v>0.97916666666666663</v>
      </c>
    </row>
    <row r="89" spans="1:16" x14ac:dyDescent="0.35">
      <c r="A89" t="s">
        <v>3</v>
      </c>
      <c r="B89">
        <v>5599</v>
      </c>
      <c r="C89">
        <v>2010</v>
      </c>
      <c r="D89">
        <v>1</v>
      </c>
      <c r="E89" s="6">
        <f t="shared" si="6"/>
        <v>40179</v>
      </c>
      <c r="F89" s="1">
        <v>742.16665999999998</v>
      </c>
      <c r="G89" s="1">
        <v>149658.82999999999</v>
      </c>
      <c r="H89" s="1">
        <v>21044604.02</v>
      </c>
      <c r="I89" s="1">
        <v>30230.27</v>
      </c>
      <c r="J89" s="7">
        <f t="shared" si="7"/>
        <v>4839.6298480990781</v>
      </c>
      <c r="K89" s="1">
        <f t="shared" si="8"/>
        <v>4839.6298480990781</v>
      </c>
      <c r="L89" s="13">
        <f t="shared" si="9"/>
        <v>0.16804948159727301</v>
      </c>
      <c r="M89" s="1">
        <v>0</v>
      </c>
      <c r="N89" s="1">
        <v>0</v>
      </c>
      <c r="O89" t="str">
        <f t="shared" si="10"/>
        <v>Producer</v>
      </c>
      <c r="P89" s="15">
        <f t="shared" si="11"/>
        <v>0.99753583333333329</v>
      </c>
    </row>
    <row r="90" spans="1:16" x14ac:dyDescent="0.35">
      <c r="A90" t="s">
        <v>3</v>
      </c>
      <c r="B90">
        <v>5599</v>
      </c>
      <c r="C90">
        <v>2010</v>
      </c>
      <c r="D90">
        <v>2</v>
      </c>
      <c r="E90" s="6">
        <f t="shared" si="6"/>
        <v>40210</v>
      </c>
      <c r="F90" s="1">
        <v>608.72500000000002</v>
      </c>
      <c r="G90" s="1">
        <v>103026</v>
      </c>
      <c r="H90" s="1">
        <v>14520589.939999999</v>
      </c>
      <c r="I90" s="1">
        <v>43215.66</v>
      </c>
      <c r="J90" s="7">
        <f t="shared" si="7"/>
        <v>4061.9721549139595</v>
      </c>
      <c r="K90" s="1">
        <f t="shared" si="8"/>
        <v>4061.9721549139595</v>
      </c>
      <c r="L90" s="13">
        <f t="shared" si="9"/>
        <v>0.29550854387183517</v>
      </c>
      <c r="M90" s="1">
        <v>0</v>
      </c>
      <c r="N90" s="1">
        <v>0</v>
      </c>
      <c r="O90" t="str">
        <f t="shared" si="10"/>
        <v>Producer</v>
      </c>
      <c r="P90" s="15">
        <f t="shared" si="11"/>
        <v>0.90584077380952388</v>
      </c>
    </row>
    <row r="91" spans="1:16" x14ac:dyDescent="0.35">
      <c r="A91" t="s">
        <v>3</v>
      </c>
      <c r="B91">
        <v>5599</v>
      </c>
      <c r="C91">
        <v>2010</v>
      </c>
      <c r="D91">
        <v>3</v>
      </c>
      <c r="E91" s="6">
        <f t="shared" si="6"/>
        <v>40238</v>
      </c>
      <c r="F91" s="1">
        <v>647.66665999999998</v>
      </c>
      <c r="G91" s="1">
        <v>101571.61</v>
      </c>
      <c r="H91" s="1">
        <v>14278518.800000001</v>
      </c>
      <c r="I91" s="1">
        <v>53998.5</v>
      </c>
      <c r="J91" s="7">
        <f t="shared" si="7"/>
        <v>3763.8476558296211</v>
      </c>
      <c r="K91" s="1">
        <f t="shared" si="8"/>
        <v>3763.8476558296211</v>
      </c>
      <c r="L91" s="13">
        <f t="shared" si="9"/>
        <v>0.3471007380530875</v>
      </c>
      <c r="M91" s="1">
        <v>0</v>
      </c>
      <c r="N91" s="1">
        <v>0</v>
      </c>
      <c r="O91" t="str">
        <f t="shared" si="10"/>
        <v>Producer</v>
      </c>
      <c r="P91" s="15">
        <f t="shared" si="11"/>
        <v>0.87051970430107528</v>
      </c>
    </row>
    <row r="92" spans="1:16" x14ac:dyDescent="0.35">
      <c r="A92" t="s">
        <v>3</v>
      </c>
      <c r="B92">
        <v>5599</v>
      </c>
      <c r="C92">
        <v>2010</v>
      </c>
      <c r="D92">
        <v>4</v>
      </c>
      <c r="E92" s="6">
        <f t="shared" si="6"/>
        <v>40269</v>
      </c>
      <c r="F92" s="1">
        <v>705.99999000000003</v>
      </c>
      <c r="G92" s="1">
        <v>86253.61</v>
      </c>
      <c r="H92" s="1">
        <v>12161145.93</v>
      </c>
      <c r="I92" s="1">
        <v>67996.09</v>
      </c>
      <c r="J92" s="7">
        <f t="shared" si="7"/>
        <v>2932.1340925231457</v>
      </c>
      <c r="K92" s="1">
        <f t="shared" si="8"/>
        <v>2932.1340925231457</v>
      </c>
      <c r="L92" s="13">
        <f t="shared" si="9"/>
        <v>0.4408182965671894</v>
      </c>
      <c r="M92" s="1">
        <v>0</v>
      </c>
      <c r="N92" s="1">
        <v>0</v>
      </c>
      <c r="O92" t="str">
        <f t="shared" si="10"/>
        <v>Producer</v>
      </c>
      <c r="P92" s="15">
        <f t="shared" si="11"/>
        <v>0.9805555416666667</v>
      </c>
    </row>
    <row r="93" spans="1:16" x14ac:dyDescent="0.35">
      <c r="A93" t="s">
        <v>3</v>
      </c>
      <c r="B93">
        <v>5599</v>
      </c>
      <c r="C93">
        <v>2010</v>
      </c>
      <c r="D93">
        <v>5</v>
      </c>
      <c r="E93" s="6">
        <f t="shared" si="6"/>
        <v>40299</v>
      </c>
      <c r="F93" s="1">
        <v>733.16666999999995</v>
      </c>
      <c r="G93" s="1">
        <v>77113.56</v>
      </c>
      <c r="H93" s="1">
        <v>10970381.300000001</v>
      </c>
      <c r="I93" s="1">
        <v>74438.31</v>
      </c>
      <c r="J93" s="7">
        <f t="shared" si="7"/>
        <v>2524.2901999350302</v>
      </c>
      <c r="K93" s="1">
        <f t="shared" si="8"/>
        <v>2524.2901999350302</v>
      </c>
      <c r="L93" s="13">
        <f t="shared" si="9"/>
        <v>0.49117381395557835</v>
      </c>
      <c r="M93" s="1">
        <v>0</v>
      </c>
      <c r="N93" s="1">
        <v>0</v>
      </c>
      <c r="O93" t="str">
        <f t="shared" si="10"/>
        <v>Producer</v>
      </c>
      <c r="P93" s="15">
        <f t="shared" si="11"/>
        <v>0.98543907258064511</v>
      </c>
    </row>
    <row r="94" spans="1:16" x14ac:dyDescent="0.35">
      <c r="A94" t="s">
        <v>3</v>
      </c>
      <c r="B94">
        <v>5599</v>
      </c>
      <c r="C94">
        <v>2010</v>
      </c>
      <c r="D94">
        <v>6</v>
      </c>
      <c r="E94" s="6">
        <f t="shared" si="6"/>
        <v>40330</v>
      </c>
      <c r="F94" s="1">
        <v>717.16666999999995</v>
      </c>
      <c r="G94" s="1">
        <v>69617.37</v>
      </c>
      <c r="H94" s="1">
        <v>9944534.2699999996</v>
      </c>
      <c r="I94" s="1">
        <v>83268.36</v>
      </c>
      <c r="J94" s="7">
        <f t="shared" si="7"/>
        <v>2329.7469749953661</v>
      </c>
      <c r="K94" s="1">
        <f t="shared" si="8"/>
        <v>2329.7469749953661</v>
      </c>
      <c r="L94" s="13">
        <f t="shared" si="9"/>
        <v>0.5446444216867069</v>
      </c>
      <c r="M94" s="1">
        <v>0</v>
      </c>
      <c r="N94" s="1">
        <v>0</v>
      </c>
      <c r="O94" t="str">
        <f t="shared" si="10"/>
        <v>Producer</v>
      </c>
      <c r="P94" s="15">
        <f t="shared" si="11"/>
        <v>0.99606481944444436</v>
      </c>
    </row>
    <row r="95" spans="1:16" x14ac:dyDescent="0.35">
      <c r="A95" t="s">
        <v>3</v>
      </c>
      <c r="B95">
        <v>5599</v>
      </c>
      <c r="C95">
        <v>2010</v>
      </c>
      <c r="D95">
        <v>7</v>
      </c>
      <c r="E95" s="6">
        <f t="shared" si="6"/>
        <v>40360</v>
      </c>
      <c r="F95" s="1">
        <v>742.33334000000002</v>
      </c>
      <c r="G95" s="1">
        <v>64039.69</v>
      </c>
      <c r="H95" s="1">
        <v>9283376.7699999996</v>
      </c>
      <c r="I95" s="1">
        <v>95054.15</v>
      </c>
      <c r="J95" s="7">
        <f t="shared" si="7"/>
        <v>2070.4345031842436</v>
      </c>
      <c r="K95" s="1">
        <f t="shared" si="8"/>
        <v>2070.4345031842436</v>
      </c>
      <c r="L95" s="13">
        <f t="shared" si="9"/>
        <v>0.59747222142604639</v>
      </c>
      <c r="M95" s="1">
        <v>0</v>
      </c>
      <c r="N95" s="1">
        <v>0</v>
      </c>
      <c r="O95" t="str">
        <f t="shared" si="10"/>
        <v>Producer</v>
      </c>
      <c r="P95" s="15">
        <f t="shared" si="11"/>
        <v>0.99775986559139784</v>
      </c>
    </row>
    <row r="96" spans="1:16" x14ac:dyDescent="0.35">
      <c r="A96" t="s">
        <v>3</v>
      </c>
      <c r="B96">
        <v>5599</v>
      </c>
      <c r="C96">
        <v>2010</v>
      </c>
      <c r="D96">
        <v>8</v>
      </c>
      <c r="E96" s="6">
        <f t="shared" si="6"/>
        <v>40391</v>
      </c>
      <c r="F96" s="1">
        <v>427.43333999999999</v>
      </c>
      <c r="G96" s="1">
        <v>30117.360000000001</v>
      </c>
      <c r="H96" s="1">
        <v>4346504.25</v>
      </c>
      <c r="I96" s="1">
        <v>54787.65</v>
      </c>
      <c r="J96" s="7">
        <f t="shared" si="7"/>
        <v>1691.0628450274844</v>
      </c>
      <c r="K96" s="1">
        <f t="shared" si="8"/>
        <v>1691.0628450274844</v>
      </c>
      <c r="L96" s="13">
        <f t="shared" si="9"/>
        <v>0.64528170952456154</v>
      </c>
      <c r="M96" s="1">
        <v>0</v>
      </c>
      <c r="N96" s="1">
        <v>0</v>
      </c>
      <c r="O96" t="str">
        <f t="shared" si="10"/>
        <v>Producer</v>
      </c>
      <c r="P96" s="15">
        <f t="shared" si="11"/>
        <v>0.57450717741935486</v>
      </c>
    </row>
    <row r="97" spans="1:16" x14ac:dyDescent="0.35">
      <c r="A97" t="s">
        <v>3</v>
      </c>
      <c r="B97">
        <v>5599</v>
      </c>
      <c r="C97">
        <v>2010</v>
      </c>
      <c r="D97">
        <v>9</v>
      </c>
      <c r="E97" s="6">
        <f t="shared" si="6"/>
        <v>40422</v>
      </c>
      <c r="F97" s="1">
        <v>644.74999000000003</v>
      </c>
      <c r="G97" s="1">
        <v>51312.93</v>
      </c>
      <c r="H97" s="1">
        <v>7750210.8799999999</v>
      </c>
      <c r="I97" s="1">
        <v>89428.800000000003</v>
      </c>
      <c r="J97" s="7">
        <f t="shared" si="7"/>
        <v>1910.0586880195222</v>
      </c>
      <c r="K97" s="1">
        <f t="shared" si="8"/>
        <v>1910.0586880195222</v>
      </c>
      <c r="L97" s="13">
        <f t="shared" si="9"/>
        <v>0.63541069162642805</v>
      </c>
      <c r="M97" s="1">
        <v>0</v>
      </c>
      <c r="N97" s="1">
        <v>0</v>
      </c>
      <c r="O97" t="str">
        <f t="shared" si="10"/>
        <v>Producer</v>
      </c>
      <c r="P97" s="15">
        <f t="shared" si="11"/>
        <v>0.89548609722222228</v>
      </c>
    </row>
    <row r="98" spans="1:16" x14ac:dyDescent="0.35">
      <c r="A98" t="s">
        <v>3</v>
      </c>
      <c r="B98">
        <v>5599</v>
      </c>
      <c r="C98">
        <v>2010</v>
      </c>
      <c r="D98">
        <v>10</v>
      </c>
      <c r="E98" s="6">
        <f t="shared" si="6"/>
        <v>40452</v>
      </c>
      <c r="F98" s="1">
        <v>743.00000999999997</v>
      </c>
      <c r="G98" s="1">
        <v>51430.58</v>
      </c>
      <c r="H98" s="1">
        <v>7741377.2400000002</v>
      </c>
      <c r="I98" s="1">
        <v>99542.87</v>
      </c>
      <c r="J98" s="7">
        <f t="shared" si="7"/>
        <v>1661.2838538185217</v>
      </c>
      <c r="K98" s="1">
        <f t="shared" si="8"/>
        <v>1661.2838538185217</v>
      </c>
      <c r="L98" s="13">
        <f t="shared" si="9"/>
        <v>0.65934023498833727</v>
      </c>
      <c r="M98" s="1">
        <v>0</v>
      </c>
      <c r="N98" s="1">
        <v>0</v>
      </c>
      <c r="O98" t="str">
        <f t="shared" si="10"/>
        <v>Producer</v>
      </c>
      <c r="P98" s="15">
        <f t="shared" si="11"/>
        <v>0.99865592741935483</v>
      </c>
    </row>
    <row r="99" spans="1:16" x14ac:dyDescent="0.35">
      <c r="A99" t="s">
        <v>3</v>
      </c>
      <c r="B99">
        <v>5599</v>
      </c>
      <c r="C99">
        <v>2010</v>
      </c>
      <c r="D99">
        <v>11</v>
      </c>
      <c r="E99" s="6">
        <f t="shared" si="6"/>
        <v>40483</v>
      </c>
      <c r="F99" s="1">
        <v>690.33333000000005</v>
      </c>
      <c r="G99" s="1">
        <v>44468.45</v>
      </c>
      <c r="H99" s="1">
        <v>6747077.6399999997</v>
      </c>
      <c r="I99" s="1">
        <v>102235.65</v>
      </c>
      <c r="J99" s="7">
        <f t="shared" si="7"/>
        <v>1545.9818519844607</v>
      </c>
      <c r="K99" s="1">
        <f t="shared" si="8"/>
        <v>1545.9818519844607</v>
      </c>
      <c r="L99" s="13">
        <f t="shared" si="9"/>
        <v>0.69688338635389202</v>
      </c>
      <c r="M99" s="1">
        <v>0</v>
      </c>
      <c r="N99" s="1">
        <v>0</v>
      </c>
      <c r="O99" t="str">
        <f t="shared" si="10"/>
        <v>Producer</v>
      </c>
      <c r="P99" s="15">
        <f t="shared" si="11"/>
        <v>0.95879629166666669</v>
      </c>
    </row>
    <row r="100" spans="1:16" x14ac:dyDescent="0.35">
      <c r="A100" t="s">
        <v>3</v>
      </c>
      <c r="B100">
        <v>5599</v>
      </c>
      <c r="C100">
        <v>2010</v>
      </c>
      <c r="D100">
        <v>12</v>
      </c>
      <c r="E100" s="6">
        <f t="shared" si="6"/>
        <v>40513</v>
      </c>
      <c r="F100" s="1">
        <v>741.33333000000005</v>
      </c>
      <c r="G100" s="1">
        <v>45217.96</v>
      </c>
      <c r="H100" s="1">
        <v>6910660.46</v>
      </c>
      <c r="I100" s="1">
        <v>111335.89</v>
      </c>
      <c r="J100" s="7">
        <f t="shared" si="7"/>
        <v>1463.8907979491491</v>
      </c>
      <c r="K100" s="1">
        <f t="shared" si="8"/>
        <v>1463.8907979491491</v>
      </c>
      <c r="L100" s="13">
        <f t="shared" si="9"/>
        <v>0.71116673272487385</v>
      </c>
      <c r="M100" s="1">
        <v>0</v>
      </c>
      <c r="N100" s="1">
        <v>0</v>
      </c>
      <c r="O100" t="str">
        <f t="shared" si="10"/>
        <v>Producer</v>
      </c>
      <c r="P100" s="15">
        <f t="shared" si="11"/>
        <v>0.99641576612903227</v>
      </c>
    </row>
    <row r="101" spans="1:16" x14ac:dyDescent="0.35">
      <c r="A101" t="s">
        <v>3</v>
      </c>
      <c r="B101">
        <v>5599</v>
      </c>
      <c r="C101">
        <v>2011</v>
      </c>
      <c r="D101">
        <v>1</v>
      </c>
      <c r="E101" s="6">
        <f t="shared" si="6"/>
        <v>40544</v>
      </c>
      <c r="F101" s="1">
        <v>743.5</v>
      </c>
      <c r="G101" s="1">
        <v>44746.55</v>
      </c>
      <c r="H101" s="1">
        <v>6824000.8899999997</v>
      </c>
      <c r="I101" s="1">
        <v>116885.54</v>
      </c>
      <c r="J101" s="7">
        <f t="shared" si="7"/>
        <v>1444.407800941493</v>
      </c>
      <c r="K101" s="1">
        <f t="shared" si="8"/>
        <v>1444.407800941493</v>
      </c>
      <c r="L101" s="13">
        <f t="shared" si="9"/>
        <v>0.72315800655674256</v>
      </c>
      <c r="M101" s="1">
        <v>0</v>
      </c>
      <c r="N101" s="1">
        <v>0</v>
      </c>
      <c r="O101" t="str">
        <f t="shared" si="10"/>
        <v>Producer</v>
      </c>
      <c r="P101" s="15">
        <f t="shared" si="11"/>
        <v>0.99932795698924726</v>
      </c>
    </row>
    <row r="102" spans="1:16" x14ac:dyDescent="0.35">
      <c r="A102" t="s">
        <v>3</v>
      </c>
      <c r="B102">
        <v>5599</v>
      </c>
      <c r="C102">
        <v>2011</v>
      </c>
      <c r="D102">
        <v>2</v>
      </c>
      <c r="E102" s="6">
        <f t="shared" si="6"/>
        <v>40575</v>
      </c>
      <c r="F102" s="1">
        <v>557.24999000000003</v>
      </c>
      <c r="G102" s="1">
        <v>29157.49</v>
      </c>
      <c r="H102" s="1">
        <v>4519227.07</v>
      </c>
      <c r="I102" s="1">
        <v>85274.18</v>
      </c>
      <c r="J102" s="7">
        <f t="shared" si="7"/>
        <v>1255.7734814853923</v>
      </c>
      <c r="K102" s="1">
        <f t="shared" si="8"/>
        <v>1255.7734814853923</v>
      </c>
      <c r="L102" s="13">
        <f t="shared" si="9"/>
        <v>0.74519737411854603</v>
      </c>
      <c r="M102" s="1">
        <v>0</v>
      </c>
      <c r="N102" s="1">
        <v>0</v>
      </c>
      <c r="O102" t="str">
        <f t="shared" si="10"/>
        <v>Producer</v>
      </c>
      <c r="P102" s="15">
        <f t="shared" si="11"/>
        <v>0.82924105654761904</v>
      </c>
    </row>
    <row r="103" spans="1:16" x14ac:dyDescent="0.35">
      <c r="A103" t="s">
        <v>3</v>
      </c>
      <c r="B103">
        <v>5599</v>
      </c>
      <c r="C103">
        <v>2011</v>
      </c>
      <c r="D103">
        <v>3</v>
      </c>
      <c r="E103" s="6">
        <f t="shared" si="6"/>
        <v>40603</v>
      </c>
      <c r="F103" s="1">
        <v>729.83334000000002</v>
      </c>
      <c r="G103" s="1">
        <v>37395.050000000003</v>
      </c>
      <c r="H103" s="1">
        <v>5760219.21</v>
      </c>
      <c r="I103" s="1">
        <v>113239.35</v>
      </c>
      <c r="J103" s="7">
        <f t="shared" si="7"/>
        <v>1229.7070451728061</v>
      </c>
      <c r="K103" s="1">
        <f t="shared" si="8"/>
        <v>1229.7070451728061</v>
      </c>
      <c r="L103" s="13">
        <f t="shared" si="9"/>
        <v>0.75174960035689053</v>
      </c>
      <c r="M103" s="1">
        <v>0</v>
      </c>
      <c r="N103" s="1">
        <v>0</v>
      </c>
      <c r="O103" t="str">
        <f t="shared" si="10"/>
        <v>Producer</v>
      </c>
      <c r="P103" s="15">
        <f t="shared" si="11"/>
        <v>0.98095879032258071</v>
      </c>
    </row>
    <row r="104" spans="1:16" x14ac:dyDescent="0.35">
      <c r="A104" t="s">
        <v>3</v>
      </c>
      <c r="B104">
        <v>5599</v>
      </c>
      <c r="C104">
        <v>2011</v>
      </c>
      <c r="D104">
        <v>4</v>
      </c>
      <c r="E104" s="6">
        <f t="shared" si="6"/>
        <v>40634</v>
      </c>
      <c r="F104" s="1">
        <v>717.91666999999995</v>
      </c>
      <c r="G104" s="1">
        <v>37819.72</v>
      </c>
      <c r="H104" s="1">
        <v>5877460.8700000001</v>
      </c>
      <c r="I104" s="1">
        <v>116196.38</v>
      </c>
      <c r="J104" s="7">
        <f t="shared" si="7"/>
        <v>1264.3156482214015</v>
      </c>
      <c r="K104" s="1">
        <f t="shared" si="8"/>
        <v>1264.3156482214015</v>
      </c>
      <c r="L104" s="13">
        <f t="shared" si="9"/>
        <v>0.75444307445780023</v>
      </c>
      <c r="M104" s="1">
        <v>0</v>
      </c>
      <c r="N104" s="1">
        <v>0</v>
      </c>
      <c r="O104" t="str">
        <f t="shared" si="10"/>
        <v>Producer</v>
      </c>
      <c r="P104" s="15">
        <f t="shared" si="11"/>
        <v>0.99710648611111108</v>
      </c>
    </row>
    <row r="105" spans="1:16" x14ac:dyDescent="0.35">
      <c r="A105" t="s">
        <v>3</v>
      </c>
      <c r="B105">
        <v>5599</v>
      </c>
      <c r="C105">
        <v>2011</v>
      </c>
      <c r="D105">
        <v>5</v>
      </c>
      <c r="E105" s="6">
        <f t="shared" si="6"/>
        <v>40664</v>
      </c>
      <c r="F105" s="1">
        <v>736.04166999999995</v>
      </c>
      <c r="G105" s="1">
        <v>37204.71</v>
      </c>
      <c r="H105" s="1">
        <v>5801740.29</v>
      </c>
      <c r="I105" s="1">
        <v>119567.47</v>
      </c>
      <c r="J105" s="7">
        <f t="shared" si="7"/>
        <v>1213.1283817124104</v>
      </c>
      <c r="K105" s="1">
        <f t="shared" si="8"/>
        <v>1213.1283817124104</v>
      </c>
      <c r="L105" s="13">
        <f t="shared" si="9"/>
        <v>0.76268295816260256</v>
      </c>
      <c r="M105" s="1">
        <v>0</v>
      </c>
      <c r="N105" s="1">
        <v>0</v>
      </c>
      <c r="O105" t="str">
        <f t="shared" si="10"/>
        <v>Producer</v>
      </c>
      <c r="P105" s="15">
        <f t="shared" si="11"/>
        <v>0.98930331989247311</v>
      </c>
    </row>
    <row r="106" spans="1:16" x14ac:dyDescent="0.35">
      <c r="A106" t="s">
        <v>3</v>
      </c>
      <c r="B106">
        <v>5599</v>
      </c>
      <c r="C106">
        <v>2011</v>
      </c>
      <c r="D106">
        <v>6</v>
      </c>
      <c r="E106" s="6">
        <f t="shared" si="6"/>
        <v>40695</v>
      </c>
      <c r="F106" s="1">
        <v>463.26666999999998</v>
      </c>
      <c r="G106" s="1">
        <v>22026.06</v>
      </c>
      <c r="H106" s="1">
        <v>3412025.77</v>
      </c>
      <c r="I106" s="1">
        <v>74563.44</v>
      </c>
      <c r="J106" s="7">
        <f t="shared" si="7"/>
        <v>1141.0823921349663</v>
      </c>
      <c r="K106" s="1">
        <f t="shared" si="8"/>
        <v>1141.0823921349663</v>
      </c>
      <c r="L106" s="13">
        <f t="shared" si="9"/>
        <v>0.77196216980106536</v>
      </c>
      <c r="M106" s="1">
        <v>0</v>
      </c>
      <c r="N106" s="1">
        <v>0</v>
      </c>
      <c r="O106" t="str">
        <f t="shared" si="10"/>
        <v>Producer</v>
      </c>
      <c r="P106" s="15">
        <f t="shared" si="11"/>
        <v>0.64342593055555553</v>
      </c>
    </row>
    <row r="107" spans="1:16" x14ac:dyDescent="0.35">
      <c r="A107" t="s">
        <v>3</v>
      </c>
      <c r="B107">
        <v>5599</v>
      </c>
      <c r="C107">
        <v>2011</v>
      </c>
      <c r="D107">
        <v>7</v>
      </c>
      <c r="E107" s="6">
        <f t="shared" si="6"/>
        <v>40725</v>
      </c>
      <c r="F107" s="1">
        <v>245.24669</v>
      </c>
      <c r="G107" s="1">
        <v>12462.42</v>
      </c>
      <c r="H107" s="1">
        <v>1823751.35</v>
      </c>
      <c r="I107" s="1">
        <v>31887.51</v>
      </c>
      <c r="J107" s="7">
        <f t="shared" si="7"/>
        <v>1219.5804966827484</v>
      </c>
      <c r="K107" s="1">
        <f t="shared" si="8"/>
        <v>1219.5804966827484</v>
      </c>
      <c r="L107" s="13">
        <f t="shared" si="9"/>
        <v>0.71899797812533184</v>
      </c>
      <c r="M107" s="1">
        <v>0</v>
      </c>
      <c r="N107" s="1">
        <v>0</v>
      </c>
      <c r="O107" t="str">
        <f t="shared" si="10"/>
        <v>Producer</v>
      </c>
      <c r="P107" s="15">
        <f t="shared" si="11"/>
        <v>0.32963264784946239</v>
      </c>
    </row>
    <row r="108" spans="1:16" x14ac:dyDescent="0.35">
      <c r="A108" t="s">
        <v>3</v>
      </c>
      <c r="B108">
        <v>5599</v>
      </c>
      <c r="C108">
        <v>2011</v>
      </c>
      <c r="D108">
        <v>8</v>
      </c>
      <c r="E108" s="6">
        <f t="shared" si="6"/>
        <v>40756</v>
      </c>
      <c r="F108" s="1">
        <v>651.49332000000004</v>
      </c>
      <c r="G108" s="1">
        <v>36380.15</v>
      </c>
      <c r="H108" s="1">
        <v>5446516.5300000003</v>
      </c>
      <c r="I108" s="1">
        <v>99004.87</v>
      </c>
      <c r="J108" s="7">
        <f t="shared" si="7"/>
        <v>1340.1881081451456</v>
      </c>
      <c r="K108" s="1">
        <f t="shared" si="8"/>
        <v>1340.1881081451456</v>
      </c>
      <c r="L108" s="13">
        <f t="shared" si="9"/>
        <v>0.73128378604959399</v>
      </c>
      <c r="M108" s="1">
        <v>0</v>
      </c>
      <c r="N108" s="1">
        <v>0</v>
      </c>
      <c r="O108" t="str">
        <f t="shared" si="10"/>
        <v>Producer</v>
      </c>
      <c r="P108" s="15">
        <f t="shared" si="11"/>
        <v>0.87566306451612907</v>
      </c>
    </row>
    <row r="109" spans="1:16" x14ac:dyDescent="0.35">
      <c r="A109" t="s">
        <v>3</v>
      </c>
      <c r="B109">
        <v>5599</v>
      </c>
      <c r="C109">
        <v>2011</v>
      </c>
      <c r="D109">
        <v>9</v>
      </c>
      <c r="E109" s="6">
        <f t="shared" si="6"/>
        <v>40787</v>
      </c>
      <c r="F109" s="1">
        <v>707</v>
      </c>
      <c r="G109" s="1">
        <v>29999.17</v>
      </c>
      <c r="H109" s="1">
        <v>4566406.76</v>
      </c>
      <c r="I109" s="1">
        <v>110471.84</v>
      </c>
      <c r="J109" s="7">
        <f t="shared" si="7"/>
        <v>1018.3593776520509</v>
      </c>
      <c r="K109" s="1">
        <f t="shared" si="8"/>
        <v>1018.3593776520509</v>
      </c>
      <c r="L109" s="13">
        <f t="shared" si="9"/>
        <v>0.78643871073469174</v>
      </c>
      <c r="M109" s="1">
        <v>0</v>
      </c>
      <c r="N109" s="1">
        <v>0</v>
      </c>
      <c r="O109" t="str">
        <f t="shared" si="10"/>
        <v>Producer</v>
      </c>
      <c r="P109" s="15">
        <f t="shared" si="11"/>
        <v>0.9819444444444444</v>
      </c>
    </row>
    <row r="110" spans="1:16" x14ac:dyDescent="0.35">
      <c r="A110" t="s">
        <v>3</v>
      </c>
      <c r="B110">
        <v>5599</v>
      </c>
      <c r="C110">
        <v>2011</v>
      </c>
      <c r="D110">
        <v>10</v>
      </c>
      <c r="E110" s="6">
        <f t="shared" si="6"/>
        <v>40817</v>
      </c>
      <c r="F110" s="1">
        <v>325.66165999999998</v>
      </c>
      <c r="G110" s="1">
        <v>12647.5</v>
      </c>
      <c r="H110" s="1">
        <v>1919664.23</v>
      </c>
      <c r="I110" s="1">
        <v>52875.8</v>
      </c>
      <c r="J110" s="7">
        <f t="shared" si="7"/>
        <v>932.07164761120487</v>
      </c>
      <c r="K110" s="1">
        <f t="shared" si="8"/>
        <v>932.07164761120487</v>
      </c>
      <c r="L110" s="13">
        <f t="shared" si="9"/>
        <v>0.8069770600687084</v>
      </c>
      <c r="M110" s="1">
        <v>0</v>
      </c>
      <c r="N110" s="1">
        <v>0</v>
      </c>
      <c r="O110" t="str">
        <f t="shared" si="10"/>
        <v>Producer</v>
      </c>
      <c r="P110" s="15">
        <f t="shared" si="11"/>
        <v>0.43771728494623652</v>
      </c>
    </row>
    <row r="111" spans="1:16" x14ac:dyDescent="0.35">
      <c r="A111" t="s">
        <v>3</v>
      </c>
      <c r="B111">
        <v>5599</v>
      </c>
      <c r="C111">
        <v>2011</v>
      </c>
      <c r="D111">
        <v>11</v>
      </c>
      <c r="E111" s="6">
        <f t="shared" si="6"/>
        <v>40848</v>
      </c>
      <c r="F111" s="1">
        <v>459.33334000000002</v>
      </c>
      <c r="G111" s="1">
        <v>21789.05</v>
      </c>
      <c r="H111" s="1">
        <v>3242433.68</v>
      </c>
      <c r="I111" s="1">
        <v>75772.929999999993</v>
      </c>
      <c r="J111" s="7">
        <f t="shared" si="7"/>
        <v>1138.4699399351241</v>
      </c>
      <c r="K111" s="1">
        <f t="shared" si="8"/>
        <v>1138.4699399351241</v>
      </c>
      <c r="L111" s="13">
        <f t="shared" si="9"/>
        <v>0.77666453673859426</v>
      </c>
      <c r="M111" s="1">
        <v>0</v>
      </c>
      <c r="N111" s="1">
        <v>0</v>
      </c>
      <c r="O111" t="str">
        <f t="shared" si="10"/>
        <v>Producer</v>
      </c>
      <c r="P111" s="15">
        <f t="shared" si="11"/>
        <v>0.6379629722222222</v>
      </c>
    </row>
    <row r="112" spans="1:16" x14ac:dyDescent="0.35">
      <c r="A112" t="s">
        <v>3</v>
      </c>
      <c r="B112">
        <v>5599</v>
      </c>
      <c r="C112">
        <v>2011</v>
      </c>
      <c r="D112">
        <v>12</v>
      </c>
      <c r="E112" s="6">
        <f t="shared" si="6"/>
        <v>40878</v>
      </c>
      <c r="F112" s="1">
        <v>424.82166000000001</v>
      </c>
      <c r="G112" s="1">
        <v>18090.2</v>
      </c>
      <c r="H112" s="1">
        <v>2650493.31</v>
      </c>
      <c r="I112" s="1">
        <v>64676.69</v>
      </c>
      <c r="J112" s="7">
        <f t="shared" si="7"/>
        <v>1021.9930876405878</v>
      </c>
      <c r="K112" s="1">
        <f t="shared" si="8"/>
        <v>1021.9930876405878</v>
      </c>
      <c r="L112" s="13">
        <f t="shared" si="9"/>
        <v>0.78143192283774343</v>
      </c>
      <c r="M112" s="1">
        <v>0</v>
      </c>
      <c r="N112" s="1">
        <v>0</v>
      </c>
      <c r="O112" t="str">
        <f t="shared" si="10"/>
        <v>Producer</v>
      </c>
      <c r="P112" s="15">
        <f t="shared" si="11"/>
        <v>0.57099685483870966</v>
      </c>
    </row>
    <row r="113" spans="1:16" x14ac:dyDescent="0.35">
      <c r="A113" t="s">
        <v>3</v>
      </c>
      <c r="B113">
        <v>5599</v>
      </c>
      <c r="C113">
        <v>2012</v>
      </c>
      <c r="D113">
        <v>1</v>
      </c>
      <c r="E113" s="6">
        <f t="shared" si="6"/>
        <v>40909</v>
      </c>
      <c r="F113" s="1">
        <v>399.65834000000001</v>
      </c>
      <c r="G113" s="1">
        <v>18217.849999999999</v>
      </c>
      <c r="H113" s="1">
        <v>2722573.45</v>
      </c>
      <c r="I113" s="1">
        <v>63857.71</v>
      </c>
      <c r="J113" s="7">
        <f t="shared" si="7"/>
        <v>1094.0054447506336</v>
      </c>
      <c r="K113" s="1">
        <f t="shared" si="8"/>
        <v>1094.0054447506336</v>
      </c>
      <c r="L113" s="13">
        <f t="shared" si="9"/>
        <v>0.7780356296076445</v>
      </c>
      <c r="M113" s="1">
        <v>0</v>
      </c>
      <c r="N113" s="1">
        <v>0</v>
      </c>
      <c r="O113" t="str">
        <f t="shared" si="10"/>
        <v>Producer</v>
      </c>
      <c r="P113" s="15">
        <f t="shared" si="11"/>
        <v>0.53717518817204302</v>
      </c>
    </row>
    <row r="114" spans="1:16" x14ac:dyDescent="0.35">
      <c r="A114" t="s">
        <v>3</v>
      </c>
      <c r="B114">
        <v>5599</v>
      </c>
      <c r="C114">
        <v>2012</v>
      </c>
      <c r="D114">
        <v>2</v>
      </c>
      <c r="E114" s="6">
        <f t="shared" si="6"/>
        <v>40940</v>
      </c>
      <c r="F114" s="1">
        <v>688.75833</v>
      </c>
      <c r="G114" s="1">
        <v>27362.26</v>
      </c>
      <c r="H114" s="1">
        <v>4289924.83</v>
      </c>
      <c r="I114" s="1">
        <v>133954.93</v>
      </c>
      <c r="J114" s="7">
        <f t="shared" si="7"/>
        <v>953.44653036718989</v>
      </c>
      <c r="K114" s="1">
        <f t="shared" si="8"/>
        <v>953.44653036718989</v>
      </c>
      <c r="L114" s="13">
        <f t="shared" si="9"/>
        <v>0.83038224258679427</v>
      </c>
      <c r="M114" s="1">
        <v>0</v>
      </c>
      <c r="N114" s="1">
        <v>0</v>
      </c>
      <c r="O114" t="str">
        <f t="shared" si="10"/>
        <v>Producer</v>
      </c>
      <c r="P114" s="15">
        <f t="shared" si="11"/>
        <v>0.9895953017241379</v>
      </c>
    </row>
    <row r="115" spans="1:16" x14ac:dyDescent="0.35">
      <c r="A115" t="s">
        <v>3</v>
      </c>
      <c r="B115">
        <v>5599</v>
      </c>
      <c r="C115">
        <v>2012</v>
      </c>
      <c r="D115">
        <v>3</v>
      </c>
      <c r="E115" s="6">
        <f t="shared" si="6"/>
        <v>40969</v>
      </c>
      <c r="F115" s="1">
        <v>740.41665999999998</v>
      </c>
      <c r="G115" s="1">
        <v>26679.88</v>
      </c>
      <c r="H115" s="1">
        <v>4276185.92</v>
      </c>
      <c r="I115" s="1">
        <v>142184.01</v>
      </c>
      <c r="J115" s="7">
        <f t="shared" si="7"/>
        <v>864.80647261502736</v>
      </c>
      <c r="K115" s="1">
        <f t="shared" si="8"/>
        <v>864.80647261502736</v>
      </c>
      <c r="L115" s="13">
        <f t="shared" si="9"/>
        <v>0.84200363973612113</v>
      </c>
      <c r="M115" s="1">
        <v>0</v>
      </c>
      <c r="N115" s="1">
        <v>0</v>
      </c>
      <c r="O115" t="str">
        <f t="shared" si="10"/>
        <v>Producer</v>
      </c>
      <c r="P115" s="15">
        <f t="shared" si="11"/>
        <v>0.99518368279569891</v>
      </c>
    </row>
    <row r="116" spans="1:16" x14ac:dyDescent="0.35">
      <c r="A116" t="s">
        <v>3</v>
      </c>
      <c r="B116">
        <v>5599</v>
      </c>
      <c r="C116">
        <v>2012</v>
      </c>
      <c r="D116">
        <v>4</v>
      </c>
      <c r="E116" s="6">
        <f t="shared" si="6"/>
        <v>41000</v>
      </c>
      <c r="F116" s="1">
        <v>710.29166999999995</v>
      </c>
      <c r="G116" s="1">
        <v>24088.35</v>
      </c>
      <c r="H116" s="1">
        <v>3866150.19</v>
      </c>
      <c r="I116" s="1">
        <v>138112.43</v>
      </c>
      <c r="J116" s="7">
        <f t="shared" si="7"/>
        <v>813.91972399169492</v>
      </c>
      <c r="K116" s="1">
        <f t="shared" si="8"/>
        <v>813.91972399169492</v>
      </c>
      <c r="L116" s="13">
        <f t="shared" si="9"/>
        <v>0.85149054153746973</v>
      </c>
      <c r="M116" s="1">
        <v>0</v>
      </c>
      <c r="N116" s="1">
        <v>0</v>
      </c>
      <c r="O116" t="str">
        <f t="shared" si="10"/>
        <v>Producer</v>
      </c>
      <c r="P116" s="15">
        <f t="shared" si="11"/>
        <v>0.98651620833333331</v>
      </c>
    </row>
    <row r="117" spans="1:16" x14ac:dyDescent="0.35">
      <c r="A117" t="s">
        <v>3</v>
      </c>
      <c r="B117">
        <v>5599</v>
      </c>
      <c r="C117">
        <v>2012</v>
      </c>
      <c r="D117">
        <v>5</v>
      </c>
      <c r="E117" s="6">
        <f t="shared" si="6"/>
        <v>41030</v>
      </c>
      <c r="F117" s="1">
        <v>737.69167000000004</v>
      </c>
      <c r="G117" s="1">
        <v>22415.15</v>
      </c>
      <c r="H117" s="1">
        <v>3630958.27</v>
      </c>
      <c r="I117" s="1">
        <v>140203.43</v>
      </c>
      <c r="J117" s="7">
        <f t="shared" si="7"/>
        <v>729.2526429097403</v>
      </c>
      <c r="K117" s="1">
        <f t="shared" si="8"/>
        <v>729.2526429097403</v>
      </c>
      <c r="L117" s="13">
        <f t="shared" si="9"/>
        <v>0.8621611995382078</v>
      </c>
      <c r="M117" s="1">
        <v>0</v>
      </c>
      <c r="N117" s="1">
        <v>0</v>
      </c>
      <c r="O117" t="str">
        <f t="shared" si="10"/>
        <v>Producer</v>
      </c>
      <c r="P117" s="15">
        <f t="shared" si="11"/>
        <v>0.99152106182795707</v>
      </c>
    </row>
    <row r="118" spans="1:16" x14ac:dyDescent="0.35">
      <c r="A118" t="s">
        <v>3</v>
      </c>
      <c r="B118">
        <v>5599</v>
      </c>
      <c r="C118">
        <v>2012</v>
      </c>
      <c r="D118">
        <v>6</v>
      </c>
      <c r="E118" s="6">
        <f t="shared" si="6"/>
        <v>41061</v>
      </c>
      <c r="F118" s="1">
        <v>711.33334000000002</v>
      </c>
      <c r="G118" s="1">
        <v>20887.38</v>
      </c>
      <c r="H118" s="1">
        <v>3394646.36</v>
      </c>
      <c r="I118" s="1">
        <v>134081.24</v>
      </c>
      <c r="J118" s="7">
        <f t="shared" si="7"/>
        <v>704.72884063047013</v>
      </c>
      <c r="K118" s="1">
        <f t="shared" si="8"/>
        <v>704.72884063047013</v>
      </c>
      <c r="L118" s="13">
        <f t="shared" si="9"/>
        <v>0.865215422322274</v>
      </c>
      <c r="M118" s="1">
        <v>0</v>
      </c>
      <c r="N118" s="1">
        <v>0</v>
      </c>
      <c r="O118" t="str">
        <f t="shared" si="10"/>
        <v>Producer</v>
      </c>
      <c r="P118" s="15">
        <f t="shared" si="11"/>
        <v>0.98796297222222229</v>
      </c>
    </row>
    <row r="119" spans="1:16" x14ac:dyDescent="0.35">
      <c r="A119" t="s">
        <v>3</v>
      </c>
      <c r="B119">
        <v>5599</v>
      </c>
      <c r="C119">
        <v>2012</v>
      </c>
      <c r="D119">
        <v>7</v>
      </c>
      <c r="E119" s="6">
        <f t="shared" si="6"/>
        <v>41091</v>
      </c>
      <c r="F119" s="1">
        <v>744</v>
      </c>
      <c r="G119" s="1">
        <v>21206.94</v>
      </c>
      <c r="H119" s="1">
        <v>3444768.69</v>
      </c>
      <c r="I119" s="1">
        <v>140164.53</v>
      </c>
      <c r="J119" s="7">
        <f t="shared" si="7"/>
        <v>684.09483870967733</v>
      </c>
      <c r="K119" s="1">
        <f t="shared" si="8"/>
        <v>684.09483870967733</v>
      </c>
      <c r="L119" s="13">
        <f t="shared" si="9"/>
        <v>0.86858308968741504</v>
      </c>
      <c r="M119" s="1">
        <v>0</v>
      </c>
      <c r="N119" s="1">
        <v>0</v>
      </c>
      <c r="O119" t="str">
        <f t="shared" si="10"/>
        <v>Producer</v>
      </c>
      <c r="P119" s="15">
        <f t="shared" si="11"/>
        <v>1</v>
      </c>
    </row>
    <row r="120" spans="1:16" x14ac:dyDescent="0.35">
      <c r="A120" t="s">
        <v>3</v>
      </c>
      <c r="B120">
        <v>5599</v>
      </c>
      <c r="C120">
        <v>2012</v>
      </c>
      <c r="D120">
        <v>8</v>
      </c>
      <c r="E120" s="6">
        <f t="shared" si="6"/>
        <v>41122</v>
      </c>
      <c r="F120" s="1">
        <v>288.625</v>
      </c>
      <c r="G120" s="1">
        <v>8998.24</v>
      </c>
      <c r="H120" s="1">
        <v>1376155.08</v>
      </c>
      <c r="I120" s="1">
        <v>54786.62</v>
      </c>
      <c r="J120" s="7">
        <f t="shared" si="7"/>
        <v>748.22957124296238</v>
      </c>
      <c r="K120" s="1">
        <f t="shared" si="8"/>
        <v>748.22957124296238</v>
      </c>
      <c r="L120" s="13">
        <f t="shared" si="9"/>
        <v>0.85892827859150278</v>
      </c>
      <c r="M120" s="1">
        <v>0</v>
      </c>
      <c r="N120" s="1">
        <v>0</v>
      </c>
      <c r="O120" t="str">
        <f t="shared" si="10"/>
        <v>Producer</v>
      </c>
      <c r="P120" s="15">
        <f t="shared" si="11"/>
        <v>0.38793682795698925</v>
      </c>
    </row>
    <row r="121" spans="1:16" x14ac:dyDescent="0.35">
      <c r="A121" t="s">
        <v>3</v>
      </c>
      <c r="B121">
        <v>5599</v>
      </c>
      <c r="C121">
        <v>2012</v>
      </c>
      <c r="D121">
        <v>9</v>
      </c>
      <c r="E121" s="6">
        <f t="shared" si="6"/>
        <v>41153</v>
      </c>
      <c r="F121" s="1">
        <v>26.99166</v>
      </c>
      <c r="G121" s="1">
        <v>1013.93</v>
      </c>
      <c r="H121" s="1">
        <v>156920.4</v>
      </c>
      <c r="I121" s="1">
        <v>4513.08</v>
      </c>
      <c r="J121" s="7">
        <f t="shared" si="7"/>
        <v>901.54958976217085</v>
      </c>
      <c r="K121" s="1">
        <f t="shared" si="8"/>
        <v>901.54958976217085</v>
      </c>
      <c r="L121" s="13">
        <f t="shared" si="9"/>
        <v>0.81654999719559029</v>
      </c>
      <c r="M121" s="1">
        <v>0</v>
      </c>
      <c r="N121" s="1">
        <v>0</v>
      </c>
      <c r="O121" t="str">
        <f t="shared" si="10"/>
        <v>Producer</v>
      </c>
      <c r="P121" s="15">
        <f t="shared" si="11"/>
        <v>3.7488416666666663E-2</v>
      </c>
    </row>
    <row r="122" spans="1:16" x14ac:dyDescent="0.35">
      <c r="A122" t="s">
        <v>3</v>
      </c>
      <c r="B122">
        <v>5599</v>
      </c>
      <c r="C122">
        <v>2012</v>
      </c>
      <c r="D122">
        <v>10</v>
      </c>
      <c r="E122" s="6">
        <f t="shared" si="6"/>
        <v>41183</v>
      </c>
      <c r="F122" s="1">
        <v>610.17499999999995</v>
      </c>
      <c r="G122" s="1">
        <v>19612.849999999999</v>
      </c>
      <c r="H122" s="1">
        <v>3067585.4</v>
      </c>
      <c r="I122" s="1">
        <v>121317.43</v>
      </c>
      <c r="J122" s="7">
        <f t="shared" si="7"/>
        <v>771.43180235178431</v>
      </c>
      <c r="K122" s="1">
        <f t="shared" si="8"/>
        <v>771.43180235178431</v>
      </c>
      <c r="L122" s="13">
        <f t="shared" si="9"/>
        <v>0.86083295938956483</v>
      </c>
      <c r="M122" s="1">
        <v>0</v>
      </c>
      <c r="N122" s="1">
        <v>0</v>
      </c>
      <c r="O122" t="str">
        <f t="shared" si="10"/>
        <v>Producer</v>
      </c>
      <c r="P122" s="15">
        <f t="shared" si="11"/>
        <v>0.82012768817204296</v>
      </c>
    </row>
    <row r="123" spans="1:16" x14ac:dyDescent="0.35">
      <c r="A123" t="s">
        <v>3</v>
      </c>
      <c r="B123">
        <v>5599</v>
      </c>
      <c r="C123">
        <v>2012</v>
      </c>
      <c r="D123">
        <v>11</v>
      </c>
      <c r="E123" s="6">
        <f t="shared" si="6"/>
        <v>41214</v>
      </c>
      <c r="F123" s="1">
        <v>720</v>
      </c>
      <c r="G123" s="1">
        <v>19018.88</v>
      </c>
      <c r="H123" s="1">
        <v>3086439.76</v>
      </c>
      <c r="I123" s="1">
        <v>134909.35999999999</v>
      </c>
      <c r="J123" s="7">
        <f t="shared" si="7"/>
        <v>633.96266666666668</v>
      </c>
      <c r="K123" s="1">
        <f t="shared" si="8"/>
        <v>633.96266666666668</v>
      </c>
      <c r="L123" s="13">
        <f t="shared" si="9"/>
        <v>0.87644320496355965</v>
      </c>
      <c r="M123" s="1">
        <v>0</v>
      </c>
      <c r="N123" s="1">
        <v>0</v>
      </c>
      <c r="O123" t="str">
        <f t="shared" si="10"/>
        <v>Producer</v>
      </c>
      <c r="P123" s="15">
        <f t="shared" si="11"/>
        <v>1</v>
      </c>
    </row>
    <row r="124" spans="1:16" x14ac:dyDescent="0.35">
      <c r="A124" t="s">
        <v>3</v>
      </c>
      <c r="B124">
        <v>5599</v>
      </c>
      <c r="C124">
        <v>2012</v>
      </c>
      <c r="D124">
        <v>12</v>
      </c>
      <c r="E124" s="6">
        <f t="shared" si="6"/>
        <v>41244</v>
      </c>
      <c r="F124" s="1">
        <v>700.24999000000003</v>
      </c>
      <c r="G124" s="1">
        <v>16320.65</v>
      </c>
      <c r="H124" s="1">
        <v>2717290.03</v>
      </c>
      <c r="I124" s="1">
        <v>131667.43</v>
      </c>
      <c r="J124" s="7">
        <f t="shared" si="7"/>
        <v>559.36537749897002</v>
      </c>
      <c r="K124" s="1">
        <f t="shared" si="8"/>
        <v>559.36537749897002</v>
      </c>
      <c r="L124" s="13">
        <f t="shared" si="9"/>
        <v>0.88971645554155443</v>
      </c>
      <c r="M124" s="1">
        <v>0</v>
      </c>
      <c r="N124" s="1">
        <v>0</v>
      </c>
      <c r="O124" t="str">
        <f t="shared" si="10"/>
        <v>Producer</v>
      </c>
      <c r="P124" s="15">
        <f t="shared" si="11"/>
        <v>0.94119622311827955</v>
      </c>
    </row>
    <row r="125" spans="1:16" x14ac:dyDescent="0.35">
      <c r="A125" t="s">
        <v>3</v>
      </c>
      <c r="B125">
        <v>5599</v>
      </c>
      <c r="C125">
        <v>2013</v>
      </c>
      <c r="D125">
        <v>1</v>
      </c>
      <c r="E125" s="6">
        <f t="shared" si="6"/>
        <v>41275</v>
      </c>
      <c r="F125" s="1">
        <v>744</v>
      </c>
      <c r="G125" s="1">
        <v>17408.57</v>
      </c>
      <c r="H125" s="1">
        <v>2881178.96</v>
      </c>
      <c r="I125" s="1">
        <v>139783.93</v>
      </c>
      <c r="J125" s="7">
        <f t="shared" si="7"/>
        <v>561.56677419354833</v>
      </c>
      <c r="K125" s="1">
        <f t="shared" si="8"/>
        <v>561.56677419354833</v>
      </c>
      <c r="L125" s="13">
        <f t="shared" si="9"/>
        <v>0.88925317683731731</v>
      </c>
      <c r="M125" s="1">
        <v>0</v>
      </c>
      <c r="N125" s="1">
        <v>0</v>
      </c>
      <c r="O125" t="str">
        <f t="shared" si="10"/>
        <v>Producer</v>
      </c>
      <c r="P125" s="15">
        <f t="shared" si="11"/>
        <v>1</v>
      </c>
    </row>
    <row r="126" spans="1:16" x14ac:dyDescent="0.35">
      <c r="A126" t="s">
        <v>3</v>
      </c>
      <c r="B126">
        <v>5599</v>
      </c>
      <c r="C126">
        <v>2013</v>
      </c>
      <c r="D126">
        <v>2</v>
      </c>
      <c r="E126" s="6">
        <f t="shared" si="6"/>
        <v>41306</v>
      </c>
      <c r="F126" s="1">
        <v>672</v>
      </c>
      <c r="G126" s="1">
        <v>15087.38</v>
      </c>
      <c r="H126" s="1">
        <v>2461248.52</v>
      </c>
      <c r="I126" s="1">
        <v>126325.44</v>
      </c>
      <c r="J126" s="7">
        <f t="shared" si="7"/>
        <v>538.83499999999992</v>
      </c>
      <c r="K126" s="1">
        <f t="shared" si="8"/>
        <v>538.83499999999992</v>
      </c>
      <c r="L126" s="13">
        <f t="shared" si="9"/>
        <v>0.893309673055102</v>
      </c>
      <c r="M126" s="1">
        <v>0</v>
      </c>
      <c r="N126" s="1">
        <v>0</v>
      </c>
      <c r="O126" t="str">
        <f t="shared" si="10"/>
        <v>Producer</v>
      </c>
      <c r="P126" s="15">
        <f t="shared" si="11"/>
        <v>1</v>
      </c>
    </row>
    <row r="127" spans="1:16" x14ac:dyDescent="0.35">
      <c r="A127" t="s">
        <v>3</v>
      </c>
      <c r="B127">
        <v>5599</v>
      </c>
      <c r="C127">
        <v>2013</v>
      </c>
      <c r="D127">
        <v>3</v>
      </c>
      <c r="E127" s="6">
        <f t="shared" si="6"/>
        <v>41334</v>
      </c>
      <c r="F127" s="1">
        <v>307.76832999999999</v>
      </c>
      <c r="G127" s="1">
        <v>6305.81</v>
      </c>
      <c r="H127" s="1">
        <v>1053665.6200000001</v>
      </c>
      <c r="I127" s="1">
        <v>57120.76</v>
      </c>
      <c r="J127" s="7">
        <f t="shared" si="7"/>
        <v>491.7316866228569</v>
      </c>
      <c r="K127" s="1">
        <f t="shared" si="8"/>
        <v>491.7316866228569</v>
      </c>
      <c r="L127" s="13">
        <f t="shared" si="9"/>
        <v>0.90058093950216767</v>
      </c>
      <c r="M127" s="1">
        <v>0</v>
      </c>
      <c r="N127" s="1">
        <v>0</v>
      </c>
      <c r="O127" t="str">
        <f t="shared" si="10"/>
        <v>Producer</v>
      </c>
      <c r="P127" s="15">
        <f t="shared" si="11"/>
        <v>0.41366711021505376</v>
      </c>
    </row>
    <row r="128" spans="1:16" x14ac:dyDescent="0.35">
      <c r="A128" t="s">
        <v>3</v>
      </c>
      <c r="B128">
        <v>5599</v>
      </c>
      <c r="C128">
        <v>2013</v>
      </c>
      <c r="D128">
        <v>4</v>
      </c>
      <c r="E128" s="6">
        <f t="shared" si="6"/>
        <v>41365</v>
      </c>
      <c r="F128" s="1">
        <v>513.46573000000001</v>
      </c>
      <c r="G128" s="1">
        <v>12351.34</v>
      </c>
      <c r="H128" s="1">
        <v>2055291.86</v>
      </c>
      <c r="I128" s="1">
        <v>102945.43</v>
      </c>
      <c r="J128" s="7">
        <f t="shared" si="7"/>
        <v>577.31634786999314</v>
      </c>
      <c r="K128" s="1">
        <f t="shared" si="8"/>
        <v>577.31634786999314</v>
      </c>
      <c r="L128" s="13">
        <f t="shared" si="9"/>
        <v>0.89287349506842217</v>
      </c>
      <c r="M128" s="1">
        <v>0</v>
      </c>
      <c r="N128" s="1">
        <v>0</v>
      </c>
      <c r="O128" t="str">
        <f t="shared" si="10"/>
        <v>Producer</v>
      </c>
      <c r="P128" s="15">
        <f t="shared" si="11"/>
        <v>0.71314684722222221</v>
      </c>
    </row>
    <row r="129" spans="1:16" x14ac:dyDescent="0.35">
      <c r="A129" t="s">
        <v>3</v>
      </c>
      <c r="B129">
        <v>5599</v>
      </c>
      <c r="C129">
        <v>2013</v>
      </c>
      <c r="D129">
        <v>5</v>
      </c>
      <c r="E129" s="6">
        <f t="shared" si="6"/>
        <v>41395</v>
      </c>
      <c r="F129" s="1">
        <v>732.05834000000004</v>
      </c>
      <c r="G129" s="1">
        <v>16313.4</v>
      </c>
      <c r="H129" s="1">
        <v>2757755.17</v>
      </c>
      <c r="I129" s="1">
        <v>147164.69</v>
      </c>
      <c r="J129" s="7">
        <f t="shared" si="7"/>
        <v>534.82294867373548</v>
      </c>
      <c r="K129" s="1">
        <f t="shared" si="8"/>
        <v>534.82294867373548</v>
      </c>
      <c r="L129" s="13">
        <f t="shared" si="9"/>
        <v>0.90021048080510369</v>
      </c>
      <c r="M129" s="1">
        <v>0</v>
      </c>
      <c r="N129" s="1">
        <v>0</v>
      </c>
      <c r="O129" t="str">
        <f t="shared" si="10"/>
        <v>Producer</v>
      </c>
      <c r="P129" s="15">
        <f t="shared" si="11"/>
        <v>0.98394938172043012</v>
      </c>
    </row>
    <row r="130" spans="1:16" x14ac:dyDescent="0.35">
      <c r="A130" t="s">
        <v>3</v>
      </c>
      <c r="B130">
        <v>5599</v>
      </c>
      <c r="C130">
        <v>2013</v>
      </c>
      <c r="D130">
        <v>6</v>
      </c>
      <c r="E130" s="6">
        <f t="shared" si="6"/>
        <v>41426</v>
      </c>
      <c r="F130" s="1">
        <v>566.67499999999995</v>
      </c>
      <c r="G130" s="1">
        <v>11899.57</v>
      </c>
      <c r="H130" s="1">
        <v>2037219.83</v>
      </c>
      <c r="I130" s="1">
        <v>112559.07</v>
      </c>
      <c r="J130" s="7">
        <f t="shared" si="7"/>
        <v>503.97437684739936</v>
      </c>
      <c r="K130" s="1">
        <f t="shared" si="8"/>
        <v>503.97437684739936</v>
      </c>
      <c r="L130" s="13">
        <f t="shared" si="9"/>
        <v>0.90438936179922902</v>
      </c>
      <c r="M130" s="1">
        <v>0</v>
      </c>
      <c r="N130" s="1">
        <v>0</v>
      </c>
      <c r="O130" t="str">
        <f t="shared" si="10"/>
        <v>Producer</v>
      </c>
      <c r="P130" s="15">
        <f t="shared" si="11"/>
        <v>0.78704861111111102</v>
      </c>
    </row>
    <row r="131" spans="1:16" x14ac:dyDescent="0.35">
      <c r="A131" t="s">
        <v>3</v>
      </c>
      <c r="B131">
        <v>5599</v>
      </c>
      <c r="C131">
        <v>2013</v>
      </c>
      <c r="D131">
        <v>7</v>
      </c>
      <c r="E131" s="6">
        <f t="shared" ref="E131:E194" si="12">DATE(C131, D131, 1)</f>
        <v>41456</v>
      </c>
      <c r="F131" s="1">
        <v>581.27499999999998</v>
      </c>
      <c r="G131" s="1">
        <v>11861.63</v>
      </c>
      <c r="H131" s="1">
        <v>1919702.47</v>
      </c>
      <c r="I131" s="1">
        <v>112172.58</v>
      </c>
      <c r="J131" s="7">
        <f t="shared" ref="J131:J194" si="13">IF(F131&gt;0,G131/(F131/24),"")</f>
        <v>489.74946453915959</v>
      </c>
      <c r="K131" s="1">
        <f t="shared" ref="K131:K194" si="14">+J131</f>
        <v>489.74946453915959</v>
      </c>
      <c r="L131" s="13">
        <f t="shared" ref="L131:L194" si="15">+IF((G131+I131)&gt;0,I131/(G131+I131),"")</f>
        <v>0.90436807716193779</v>
      </c>
      <c r="M131" s="1">
        <v>0</v>
      </c>
      <c r="N131" s="1">
        <v>0</v>
      </c>
      <c r="O131" t="str">
        <f t="shared" ref="O131:O194" si="16">IF(F131&gt;0,IF(N(N131)&gt;0,"Injector",IF(N(G131)&gt;0,"Producer","Inactive")),"No production")</f>
        <v>Producer</v>
      </c>
      <c r="P131" s="15">
        <f t="shared" ref="P131:P194" si="17">+IF(F131&gt;0,F131/(DAY(EOMONTH(E131,0))*24),"")</f>
        <v>0.7812836021505376</v>
      </c>
    </row>
    <row r="132" spans="1:16" x14ac:dyDescent="0.35">
      <c r="A132" t="s">
        <v>3</v>
      </c>
      <c r="B132">
        <v>5599</v>
      </c>
      <c r="C132">
        <v>2013</v>
      </c>
      <c r="D132">
        <v>8</v>
      </c>
      <c r="E132" s="6">
        <f t="shared" si="12"/>
        <v>41487</v>
      </c>
      <c r="F132" s="1">
        <v>687.97685000000001</v>
      </c>
      <c r="G132" s="1">
        <v>15147.18</v>
      </c>
      <c r="H132" s="1">
        <v>2354241.4900000002</v>
      </c>
      <c r="I132" s="1">
        <v>152994.91</v>
      </c>
      <c r="J132" s="7">
        <f t="shared" si="13"/>
        <v>528.40778000015553</v>
      </c>
      <c r="K132" s="1">
        <f t="shared" si="14"/>
        <v>528.40778000015553</v>
      </c>
      <c r="L132" s="13">
        <f t="shared" si="15"/>
        <v>0.90991440632146303</v>
      </c>
      <c r="M132" s="1">
        <v>0</v>
      </c>
      <c r="N132" s="1">
        <v>0</v>
      </c>
      <c r="O132" t="str">
        <f t="shared" si="16"/>
        <v>Producer</v>
      </c>
      <c r="P132" s="15">
        <f t="shared" si="17"/>
        <v>0.92470006720430109</v>
      </c>
    </row>
    <row r="133" spans="1:16" x14ac:dyDescent="0.35">
      <c r="A133" t="s">
        <v>3</v>
      </c>
      <c r="B133">
        <v>5599</v>
      </c>
      <c r="C133">
        <v>2013</v>
      </c>
      <c r="D133">
        <v>9</v>
      </c>
      <c r="E133" s="6">
        <f t="shared" si="12"/>
        <v>41518</v>
      </c>
      <c r="F133" s="1">
        <v>589.98500000000001</v>
      </c>
      <c r="G133" s="1">
        <v>9223.5300000000007</v>
      </c>
      <c r="H133" s="1">
        <v>1446819.31</v>
      </c>
      <c r="I133" s="1">
        <v>104678.41</v>
      </c>
      <c r="J133" s="7">
        <f t="shared" si="13"/>
        <v>375.20397976219738</v>
      </c>
      <c r="K133" s="1">
        <f t="shared" si="14"/>
        <v>375.20397976219738</v>
      </c>
      <c r="L133" s="13">
        <f t="shared" si="15"/>
        <v>0.91902218697943161</v>
      </c>
      <c r="M133" s="1">
        <v>0</v>
      </c>
      <c r="N133" s="1">
        <v>0</v>
      </c>
      <c r="O133" t="str">
        <f t="shared" si="16"/>
        <v>Producer</v>
      </c>
      <c r="P133" s="15">
        <f t="shared" si="17"/>
        <v>0.81942361111111117</v>
      </c>
    </row>
    <row r="134" spans="1:16" x14ac:dyDescent="0.35">
      <c r="A134" t="s">
        <v>3</v>
      </c>
      <c r="B134">
        <v>5599</v>
      </c>
      <c r="C134">
        <v>2013</v>
      </c>
      <c r="D134">
        <v>10</v>
      </c>
      <c r="E134" s="6">
        <f t="shared" si="12"/>
        <v>41548</v>
      </c>
      <c r="F134" s="1">
        <v>680</v>
      </c>
      <c r="G134" s="1">
        <v>8305.01</v>
      </c>
      <c r="H134" s="1">
        <v>1283583.5</v>
      </c>
      <c r="I134" s="1">
        <v>137534.62</v>
      </c>
      <c r="J134" s="7">
        <f t="shared" si="13"/>
        <v>293.11799999999999</v>
      </c>
      <c r="K134" s="1">
        <f t="shared" si="14"/>
        <v>293.11799999999999</v>
      </c>
      <c r="L134" s="13">
        <f t="shared" si="15"/>
        <v>0.94305381877340189</v>
      </c>
      <c r="M134" s="1">
        <v>0</v>
      </c>
      <c r="N134" s="1">
        <v>0</v>
      </c>
      <c r="O134" t="str">
        <f t="shared" si="16"/>
        <v>Producer</v>
      </c>
      <c r="P134" s="15">
        <f t="shared" si="17"/>
        <v>0.91397849462365588</v>
      </c>
    </row>
    <row r="135" spans="1:16" x14ac:dyDescent="0.35">
      <c r="A135" t="s">
        <v>3</v>
      </c>
      <c r="B135">
        <v>5599</v>
      </c>
      <c r="C135">
        <v>2013</v>
      </c>
      <c r="D135">
        <v>11</v>
      </c>
      <c r="E135" s="6">
        <f t="shared" si="12"/>
        <v>41579</v>
      </c>
      <c r="F135" s="1">
        <v>648.64166999999998</v>
      </c>
      <c r="G135" s="1">
        <v>7170.56</v>
      </c>
      <c r="H135" s="1">
        <v>1102962.23</v>
      </c>
      <c r="I135" s="1">
        <v>122993.19</v>
      </c>
      <c r="J135" s="7">
        <f t="shared" si="13"/>
        <v>265.31357444241905</v>
      </c>
      <c r="K135" s="1">
        <f t="shared" si="14"/>
        <v>265.31357444241905</v>
      </c>
      <c r="L135" s="13">
        <f t="shared" si="15"/>
        <v>0.9449112368074829</v>
      </c>
      <c r="M135" s="1">
        <v>0</v>
      </c>
      <c r="N135" s="1">
        <v>0</v>
      </c>
      <c r="O135" t="str">
        <f t="shared" si="16"/>
        <v>Producer</v>
      </c>
      <c r="P135" s="15">
        <f t="shared" si="17"/>
        <v>0.90089120833333325</v>
      </c>
    </row>
    <row r="136" spans="1:16" x14ac:dyDescent="0.35">
      <c r="A136" t="s">
        <v>3</v>
      </c>
      <c r="B136">
        <v>5599</v>
      </c>
      <c r="C136">
        <v>2013</v>
      </c>
      <c r="D136">
        <v>12</v>
      </c>
      <c r="E136" s="6">
        <f t="shared" si="12"/>
        <v>41609</v>
      </c>
      <c r="F136" s="1">
        <v>633.4</v>
      </c>
      <c r="G136" s="1">
        <v>7079.52</v>
      </c>
      <c r="H136" s="1">
        <v>1101388.53</v>
      </c>
      <c r="I136" s="1">
        <v>125859.26</v>
      </c>
      <c r="J136" s="7">
        <f t="shared" si="13"/>
        <v>268.24831070413643</v>
      </c>
      <c r="K136" s="1">
        <f t="shared" si="14"/>
        <v>268.24831070413643</v>
      </c>
      <c r="L136" s="13">
        <f t="shared" si="15"/>
        <v>0.94674601346574716</v>
      </c>
      <c r="M136" s="1">
        <v>0</v>
      </c>
      <c r="N136" s="1">
        <v>0</v>
      </c>
      <c r="O136" t="str">
        <f t="shared" si="16"/>
        <v>Producer</v>
      </c>
      <c r="P136" s="15">
        <f t="shared" si="17"/>
        <v>0.85134408602150535</v>
      </c>
    </row>
    <row r="137" spans="1:16" x14ac:dyDescent="0.35">
      <c r="A137" t="s">
        <v>3</v>
      </c>
      <c r="B137">
        <v>5599</v>
      </c>
      <c r="C137">
        <v>2014</v>
      </c>
      <c r="D137">
        <v>1</v>
      </c>
      <c r="E137" s="6">
        <f t="shared" si="12"/>
        <v>41640</v>
      </c>
      <c r="F137" s="1">
        <v>486.14168000000001</v>
      </c>
      <c r="G137" s="1">
        <v>4997.24</v>
      </c>
      <c r="H137" s="1">
        <v>766195.72</v>
      </c>
      <c r="I137" s="1">
        <v>87030.26</v>
      </c>
      <c r="J137" s="7">
        <f t="shared" si="13"/>
        <v>246.70536375321697</v>
      </c>
      <c r="K137" s="1">
        <f t="shared" si="14"/>
        <v>246.70536375321697</v>
      </c>
      <c r="L137" s="13">
        <f t="shared" si="15"/>
        <v>0.94569840536796057</v>
      </c>
      <c r="M137" s="1">
        <v>0</v>
      </c>
      <c r="N137" s="1">
        <v>0</v>
      </c>
      <c r="O137" t="str">
        <f t="shared" si="16"/>
        <v>Producer</v>
      </c>
      <c r="P137" s="15">
        <f t="shared" si="17"/>
        <v>0.65341623655913983</v>
      </c>
    </row>
    <row r="138" spans="1:16" x14ac:dyDescent="0.35">
      <c r="A138" t="s">
        <v>3</v>
      </c>
      <c r="B138">
        <v>5599</v>
      </c>
      <c r="C138">
        <v>2014</v>
      </c>
      <c r="D138">
        <v>2</v>
      </c>
      <c r="E138" s="6">
        <f t="shared" si="12"/>
        <v>41671</v>
      </c>
      <c r="F138" s="1">
        <v>561.9</v>
      </c>
      <c r="G138" s="1">
        <v>6101.4</v>
      </c>
      <c r="H138" s="1">
        <v>921967.01</v>
      </c>
      <c r="I138" s="1">
        <v>110297.86</v>
      </c>
      <c r="J138" s="7">
        <f t="shared" si="13"/>
        <v>260.60437800320341</v>
      </c>
      <c r="K138" s="1">
        <f t="shared" si="14"/>
        <v>260.60437800320341</v>
      </c>
      <c r="L138" s="13">
        <f t="shared" si="15"/>
        <v>0.9475821409861197</v>
      </c>
      <c r="M138" s="1">
        <v>0</v>
      </c>
      <c r="N138" s="1">
        <v>0</v>
      </c>
      <c r="O138" t="str">
        <f t="shared" si="16"/>
        <v>Producer</v>
      </c>
      <c r="P138" s="15">
        <f t="shared" si="17"/>
        <v>0.83616071428571426</v>
      </c>
    </row>
    <row r="139" spans="1:16" x14ac:dyDescent="0.35">
      <c r="A139" t="s">
        <v>3</v>
      </c>
      <c r="B139">
        <v>5599</v>
      </c>
      <c r="C139">
        <v>2014</v>
      </c>
      <c r="D139">
        <v>3</v>
      </c>
      <c r="E139" s="6">
        <f t="shared" si="12"/>
        <v>41699</v>
      </c>
      <c r="F139" s="1">
        <v>656.72425999999996</v>
      </c>
      <c r="G139" s="1">
        <v>6835.66</v>
      </c>
      <c r="H139" s="1">
        <v>1036071.18</v>
      </c>
      <c r="I139" s="1">
        <v>127351.18</v>
      </c>
      <c r="J139" s="7">
        <f t="shared" si="13"/>
        <v>249.80931875426683</v>
      </c>
      <c r="K139" s="1">
        <f t="shared" si="14"/>
        <v>249.80931875426683</v>
      </c>
      <c r="L139" s="13">
        <f t="shared" si="15"/>
        <v>0.94905864092186687</v>
      </c>
      <c r="M139" s="1">
        <v>0</v>
      </c>
      <c r="N139" s="1">
        <v>0</v>
      </c>
      <c r="O139" t="str">
        <f t="shared" si="16"/>
        <v>Producer</v>
      </c>
      <c r="P139" s="15">
        <f t="shared" si="17"/>
        <v>0.88269389784946228</v>
      </c>
    </row>
    <row r="140" spans="1:16" x14ac:dyDescent="0.35">
      <c r="A140" t="s">
        <v>3</v>
      </c>
      <c r="B140">
        <v>5599</v>
      </c>
      <c r="C140">
        <v>2014</v>
      </c>
      <c r="D140">
        <v>4</v>
      </c>
      <c r="E140" s="6">
        <f t="shared" si="12"/>
        <v>41730</v>
      </c>
      <c r="F140" s="1">
        <v>693.01832999999999</v>
      </c>
      <c r="G140" s="1">
        <v>5892.01</v>
      </c>
      <c r="H140" s="1">
        <v>883605</v>
      </c>
      <c r="I140" s="1">
        <v>141144.82</v>
      </c>
      <c r="J140" s="7">
        <f t="shared" si="13"/>
        <v>204.04689728769512</v>
      </c>
      <c r="K140" s="1">
        <f t="shared" si="14"/>
        <v>204.04689728769512</v>
      </c>
      <c r="L140" s="13">
        <f t="shared" si="15"/>
        <v>0.95992833904267383</v>
      </c>
      <c r="M140" s="1">
        <v>0</v>
      </c>
      <c r="N140" s="1">
        <v>0</v>
      </c>
      <c r="O140" t="str">
        <f t="shared" si="16"/>
        <v>Producer</v>
      </c>
      <c r="P140" s="15">
        <f t="shared" si="17"/>
        <v>0.96252545833333336</v>
      </c>
    </row>
    <row r="141" spans="1:16" x14ac:dyDescent="0.35">
      <c r="A141" t="s">
        <v>3</v>
      </c>
      <c r="B141">
        <v>5599</v>
      </c>
      <c r="C141">
        <v>2014</v>
      </c>
      <c r="D141">
        <v>5</v>
      </c>
      <c r="E141" s="6">
        <f t="shared" si="12"/>
        <v>41760</v>
      </c>
      <c r="F141" s="1">
        <v>427.32999000000001</v>
      </c>
      <c r="G141" s="1">
        <v>3237.7</v>
      </c>
      <c r="H141" s="1">
        <v>469664</v>
      </c>
      <c r="I141" s="1">
        <v>88748.26</v>
      </c>
      <c r="J141" s="7">
        <f t="shared" si="13"/>
        <v>181.83792810797107</v>
      </c>
      <c r="K141" s="1">
        <f t="shared" si="14"/>
        <v>181.83792810797107</v>
      </c>
      <c r="L141" s="13">
        <f t="shared" si="15"/>
        <v>0.96480223721098313</v>
      </c>
      <c r="M141" s="1">
        <v>0</v>
      </c>
      <c r="N141" s="1">
        <v>0</v>
      </c>
      <c r="O141" t="str">
        <f t="shared" si="16"/>
        <v>Producer</v>
      </c>
      <c r="P141" s="15">
        <f t="shared" si="17"/>
        <v>0.57436826612903225</v>
      </c>
    </row>
    <row r="142" spans="1:16" x14ac:dyDescent="0.35">
      <c r="A142" t="s">
        <v>3</v>
      </c>
      <c r="B142">
        <v>5599</v>
      </c>
      <c r="C142">
        <v>2014</v>
      </c>
      <c r="D142">
        <v>6</v>
      </c>
      <c r="E142" s="6">
        <f t="shared" si="12"/>
        <v>41791</v>
      </c>
      <c r="F142" s="1">
        <v>707.33333000000005</v>
      </c>
      <c r="G142" s="1">
        <v>5751.2</v>
      </c>
      <c r="H142" s="1">
        <v>846733.74</v>
      </c>
      <c r="I142" s="1">
        <v>152034.68</v>
      </c>
      <c r="J142" s="7">
        <f t="shared" si="13"/>
        <v>195.13968046719924</v>
      </c>
      <c r="K142" s="1">
        <f t="shared" si="14"/>
        <v>195.13968046719924</v>
      </c>
      <c r="L142" s="13">
        <f t="shared" si="15"/>
        <v>0.96355060414784888</v>
      </c>
      <c r="M142" s="1">
        <v>0</v>
      </c>
      <c r="N142" s="1">
        <v>0</v>
      </c>
      <c r="O142" t="str">
        <f t="shared" si="16"/>
        <v>Producer</v>
      </c>
      <c r="P142" s="15">
        <f t="shared" si="17"/>
        <v>0.98240740277777783</v>
      </c>
    </row>
    <row r="143" spans="1:16" x14ac:dyDescent="0.35">
      <c r="A143" t="s">
        <v>3</v>
      </c>
      <c r="B143">
        <v>5599</v>
      </c>
      <c r="C143">
        <v>2014</v>
      </c>
      <c r="D143">
        <v>7</v>
      </c>
      <c r="E143" s="6">
        <f t="shared" si="12"/>
        <v>41821</v>
      </c>
      <c r="F143" s="1">
        <v>743.16666999999995</v>
      </c>
      <c r="G143" s="1">
        <v>5791.84</v>
      </c>
      <c r="H143" s="1">
        <v>864045.93</v>
      </c>
      <c r="I143" s="1">
        <v>152314.38</v>
      </c>
      <c r="J143" s="7">
        <f t="shared" si="13"/>
        <v>187.04304917226713</v>
      </c>
      <c r="K143" s="1">
        <f t="shared" si="14"/>
        <v>187.04304917226713</v>
      </c>
      <c r="L143" s="13">
        <f t="shared" si="15"/>
        <v>0.96336741211066845</v>
      </c>
      <c r="M143" s="1">
        <v>0</v>
      </c>
      <c r="N143" s="1">
        <v>0</v>
      </c>
      <c r="O143" t="str">
        <f t="shared" si="16"/>
        <v>Producer</v>
      </c>
      <c r="P143" s="15">
        <f t="shared" si="17"/>
        <v>0.99887993279569887</v>
      </c>
    </row>
    <row r="144" spans="1:16" x14ac:dyDescent="0.35">
      <c r="A144" t="s">
        <v>3</v>
      </c>
      <c r="B144">
        <v>5599</v>
      </c>
      <c r="C144">
        <v>2014</v>
      </c>
      <c r="D144">
        <v>8</v>
      </c>
      <c r="E144" s="6">
        <f t="shared" si="12"/>
        <v>41852</v>
      </c>
      <c r="F144" s="1">
        <v>593.36666000000002</v>
      </c>
      <c r="G144" s="1">
        <v>4448.49</v>
      </c>
      <c r="H144" s="1">
        <v>704538.16</v>
      </c>
      <c r="I144" s="1">
        <v>126629.09</v>
      </c>
      <c r="J144" s="7">
        <f t="shared" si="13"/>
        <v>179.92881500959285</v>
      </c>
      <c r="K144" s="1">
        <f t="shared" si="14"/>
        <v>179.92881500959285</v>
      </c>
      <c r="L144" s="13">
        <f t="shared" si="15"/>
        <v>0.96606215952415364</v>
      </c>
      <c r="M144" s="1">
        <v>0</v>
      </c>
      <c r="N144" s="1">
        <v>0</v>
      </c>
      <c r="O144" t="str">
        <f t="shared" si="16"/>
        <v>Producer</v>
      </c>
      <c r="P144" s="15">
        <f t="shared" si="17"/>
        <v>0.79753583333333333</v>
      </c>
    </row>
    <row r="145" spans="1:16" x14ac:dyDescent="0.35">
      <c r="A145" t="s">
        <v>3</v>
      </c>
      <c r="B145">
        <v>5599</v>
      </c>
      <c r="C145">
        <v>2014</v>
      </c>
      <c r="D145">
        <v>9</v>
      </c>
      <c r="E145" s="6">
        <f t="shared" si="12"/>
        <v>41883</v>
      </c>
      <c r="F145" s="1">
        <v>685.83333000000005</v>
      </c>
      <c r="G145" s="1">
        <v>5062.59</v>
      </c>
      <c r="H145" s="1">
        <v>803970.67</v>
      </c>
      <c r="I145" s="1">
        <v>149375.78</v>
      </c>
      <c r="J145" s="7">
        <f t="shared" si="13"/>
        <v>177.1598939351635</v>
      </c>
      <c r="K145" s="1">
        <f t="shared" si="14"/>
        <v>177.1598939351635</v>
      </c>
      <c r="L145" s="13">
        <f t="shared" si="15"/>
        <v>0.96721935099418621</v>
      </c>
      <c r="M145" s="1">
        <v>0</v>
      </c>
      <c r="N145" s="1">
        <v>0</v>
      </c>
      <c r="O145" t="str">
        <f t="shared" si="16"/>
        <v>Producer</v>
      </c>
      <c r="P145" s="15">
        <f t="shared" si="17"/>
        <v>0.95254629166666671</v>
      </c>
    </row>
    <row r="146" spans="1:16" x14ac:dyDescent="0.35">
      <c r="A146" t="s">
        <v>3</v>
      </c>
      <c r="B146">
        <v>5599</v>
      </c>
      <c r="C146">
        <v>2014</v>
      </c>
      <c r="D146">
        <v>10</v>
      </c>
      <c r="E146" s="6">
        <f t="shared" si="12"/>
        <v>41913</v>
      </c>
      <c r="F146" s="1">
        <v>745</v>
      </c>
      <c r="G146" s="1">
        <v>5385.61</v>
      </c>
      <c r="H146" s="1">
        <v>833120.57</v>
      </c>
      <c r="I146" s="1">
        <v>155365.68</v>
      </c>
      <c r="J146" s="7">
        <f t="shared" si="13"/>
        <v>173.49616107382548</v>
      </c>
      <c r="K146" s="1">
        <f t="shared" si="14"/>
        <v>173.49616107382548</v>
      </c>
      <c r="L146" s="13">
        <f t="shared" si="15"/>
        <v>0.96649725174833756</v>
      </c>
      <c r="M146" s="1">
        <v>0</v>
      </c>
      <c r="N146" s="1">
        <v>0</v>
      </c>
      <c r="O146" t="str">
        <f t="shared" si="16"/>
        <v>Producer</v>
      </c>
      <c r="P146" s="15">
        <f t="shared" si="17"/>
        <v>1.0013440860215055</v>
      </c>
    </row>
    <row r="147" spans="1:16" x14ac:dyDescent="0.35">
      <c r="A147" t="s">
        <v>3</v>
      </c>
      <c r="B147">
        <v>5599</v>
      </c>
      <c r="C147">
        <v>2014</v>
      </c>
      <c r="D147">
        <v>11</v>
      </c>
      <c r="E147" s="6">
        <f t="shared" si="12"/>
        <v>41944</v>
      </c>
      <c r="F147" s="1">
        <v>580.94167000000004</v>
      </c>
      <c r="G147" s="1">
        <v>4495.0600000000004</v>
      </c>
      <c r="H147" s="1">
        <v>700998.22</v>
      </c>
      <c r="I147" s="1">
        <v>114660.7</v>
      </c>
      <c r="J147" s="7">
        <f t="shared" si="13"/>
        <v>185.70098440347721</v>
      </c>
      <c r="K147" s="1">
        <f t="shared" si="14"/>
        <v>185.70098440347721</v>
      </c>
      <c r="L147" s="13">
        <f t="shared" si="15"/>
        <v>0.96227576409231075</v>
      </c>
      <c r="M147" s="1">
        <v>0</v>
      </c>
      <c r="N147" s="1">
        <v>0</v>
      </c>
      <c r="O147" t="str">
        <f t="shared" si="16"/>
        <v>Producer</v>
      </c>
      <c r="P147" s="15">
        <f t="shared" si="17"/>
        <v>0.80686343055555565</v>
      </c>
    </row>
    <row r="148" spans="1:16" x14ac:dyDescent="0.35">
      <c r="A148" t="s">
        <v>3</v>
      </c>
      <c r="B148">
        <v>5599</v>
      </c>
      <c r="C148">
        <v>2014</v>
      </c>
      <c r="D148">
        <v>12</v>
      </c>
      <c r="E148" s="6">
        <f t="shared" si="12"/>
        <v>41974</v>
      </c>
      <c r="F148" s="1">
        <v>0</v>
      </c>
      <c r="G148" s="1">
        <v>0</v>
      </c>
      <c r="H148" s="1">
        <v>0</v>
      </c>
      <c r="I148" s="1">
        <v>0</v>
      </c>
      <c r="J148" s="7" t="str">
        <f t="shared" si="13"/>
        <v/>
      </c>
      <c r="K148" s="1" t="str">
        <f t="shared" si="14"/>
        <v/>
      </c>
      <c r="L148" s="13" t="str">
        <f t="shared" si="15"/>
        <v/>
      </c>
      <c r="M148" s="1">
        <v>0</v>
      </c>
      <c r="N148" s="1">
        <v>0</v>
      </c>
      <c r="O148" t="str">
        <f t="shared" si="16"/>
        <v>No production</v>
      </c>
      <c r="P148" s="15" t="str">
        <f t="shared" si="17"/>
        <v/>
      </c>
    </row>
    <row r="149" spans="1:16" x14ac:dyDescent="0.35">
      <c r="A149" t="s">
        <v>3</v>
      </c>
      <c r="B149">
        <v>5599</v>
      </c>
      <c r="C149">
        <v>2015</v>
      </c>
      <c r="D149">
        <v>1</v>
      </c>
      <c r="E149" s="6">
        <f t="shared" si="12"/>
        <v>42005</v>
      </c>
      <c r="F149" s="1">
        <v>715.58333000000005</v>
      </c>
      <c r="G149" s="1">
        <v>25712.55</v>
      </c>
      <c r="H149" s="1">
        <v>3780459.43</v>
      </c>
      <c r="I149" s="1">
        <v>11588.22</v>
      </c>
      <c r="J149" s="7">
        <f t="shared" si="13"/>
        <v>862.37503604227334</v>
      </c>
      <c r="K149" s="1">
        <f t="shared" si="14"/>
        <v>862.37503604227334</v>
      </c>
      <c r="L149" s="13">
        <f t="shared" si="15"/>
        <v>0.3106697261209353</v>
      </c>
      <c r="M149" s="1">
        <v>0</v>
      </c>
      <c r="N149" s="1">
        <v>0</v>
      </c>
      <c r="O149" t="str">
        <f t="shared" si="16"/>
        <v>Producer</v>
      </c>
      <c r="P149" s="15">
        <f t="shared" si="17"/>
        <v>0.96180555107526888</v>
      </c>
    </row>
    <row r="150" spans="1:16" x14ac:dyDescent="0.35">
      <c r="A150" t="s">
        <v>3</v>
      </c>
      <c r="B150">
        <v>5599</v>
      </c>
      <c r="C150">
        <v>2015</v>
      </c>
      <c r="D150">
        <v>2</v>
      </c>
      <c r="E150" s="6">
        <f t="shared" si="12"/>
        <v>42036</v>
      </c>
      <c r="F150" s="1">
        <v>622.79665999999997</v>
      </c>
      <c r="G150" s="1">
        <v>19578.55</v>
      </c>
      <c r="H150" s="1">
        <v>2960674.24</v>
      </c>
      <c r="I150" s="1">
        <v>15115.5</v>
      </c>
      <c r="J150" s="7">
        <f t="shared" si="13"/>
        <v>754.47610781984611</v>
      </c>
      <c r="K150" s="1">
        <f t="shared" si="14"/>
        <v>754.47610781984611</v>
      </c>
      <c r="L150" s="13">
        <f t="shared" si="15"/>
        <v>0.43567989323817768</v>
      </c>
      <c r="M150" s="1">
        <v>0</v>
      </c>
      <c r="N150" s="1">
        <v>0</v>
      </c>
      <c r="O150" t="str">
        <f t="shared" si="16"/>
        <v>Producer</v>
      </c>
      <c r="P150" s="15">
        <f t="shared" si="17"/>
        <v>0.92678074404761901</v>
      </c>
    </row>
    <row r="151" spans="1:16" x14ac:dyDescent="0.35">
      <c r="A151" t="s">
        <v>3</v>
      </c>
      <c r="B151">
        <v>5599</v>
      </c>
      <c r="C151">
        <v>2015</v>
      </c>
      <c r="D151">
        <v>3</v>
      </c>
      <c r="E151" s="6">
        <f t="shared" si="12"/>
        <v>42064</v>
      </c>
      <c r="F151" s="1">
        <v>665.125</v>
      </c>
      <c r="G151" s="1">
        <v>19341.43</v>
      </c>
      <c r="H151" s="1">
        <v>2853432.83</v>
      </c>
      <c r="I151" s="1">
        <v>19255.66</v>
      </c>
      <c r="J151" s="7">
        <f t="shared" si="13"/>
        <v>697.90538620560039</v>
      </c>
      <c r="K151" s="1">
        <f t="shared" si="14"/>
        <v>697.90538620560039</v>
      </c>
      <c r="L151" s="13">
        <f t="shared" si="15"/>
        <v>0.4988889058734739</v>
      </c>
      <c r="M151" s="1">
        <v>0</v>
      </c>
      <c r="N151" s="1">
        <v>0</v>
      </c>
      <c r="O151" t="str">
        <f t="shared" si="16"/>
        <v>Producer</v>
      </c>
      <c r="P151" s="15">
        <f t="shared" si="17"/>
        <v>0.89398521505376349</v>
      </c>
    </row>
    <row r="152" spans="1:16" x14ac:dyDescent="0.35">
      <c r="A152" t="s">
        <v>3</v>
      </c>
      <c r="B152">
        <v>5599</v>
      </c>
      <c r="C152">
        <v>2015</v>
      </c>
      <c r="D152">
        <v>4</v>
      </c>
      <c r="E152" s="6">
        <f t="shared" si="12"/>
        <v>42095</v>
      </c>
      <c r="F152" s="1">
        <v>720</v>
      </c>
      <c r="G152" s="1">
        <v>19796.560000000001</v>
      </c>
      <c r="H152" s="1">
        <v>2889394.96</v>
      </c>
      <c r="I152" s="1">
        <v>20808.060000000001</v>
      </c>
      <c r="J152" s="7">
        <f t="shared" si="13"/>
        <v>659.88533333333339</v>
      </c>
      <c r="K152" s="1">
        <f t="shared" si="14"/>
        <v>659.88533333333339</v>
      </c>
      <c r="L152" s="13">
        <f t="shared" si="15"/>
        <v>0.51245547920409051</v>
      </c>
      <c r="M152" s="1">
        <v>0</v>
      </c>
      <c r="N152" s="1">
        <v>0</v>
      </c>
      <c r="O152" t="str">
        <f t="shared" si="16"/>
        <v>Producer</v>
      </c>
      <c r="P152" s="15">
        <f t="shared" si="17"/>
        <v>1</v>
      </c>
    </row>
    <row r="153" spans="1:16" x14ac:dyDescent="0.35">
      <c r="A153" t="s">
        <v>3</v>
      </c>
      <c r="B153">
        <v>5599</v>
      </c>
      <c r="C153">
        <v>2015</v>
      </c>
      <c r="D153">
        <v>5</v>
      </c>
      <c r="E153" s="6">
        <f t="shared" si="12"/>
        <v>42125</v>
      </c>
      <c r="F153" s="1">
        <v>744</v>
      </c>
      <c r="G153" s="1">
        <v>16996.48</v>
      </c>
      <c r="H153" s="1">
        <v>2479620.4</v>
      </c>
      <c r="I153" s="1">
        <v>25200.83</v>
      </c>
      <c r="J153" s="7">
        <f t="shared" si="13"/>
        <v>548.27354838709675</v>
      </c>
      <c r="K153" s="1">
        <f t="shared" si="14"/>
        <v>548.27354838709675</v>
      </c>
      <c r="L153" s="13">
        <f t="shared" si="15"/>
        <v>0.59721413521383238</v>
      </c>
      <c r="M153" s="1">
        <v>0</v>
      </c>
      <c r="N153" s="1">
        <v>0</v>
      </c>
      <c r="O153" t="str">
        <f t="shared" si="16"/>
        <v>Producer</v>
      </c>
      <c r="P153" s="15">
        <f t="shared" si="17"/>
        <v>1</v>
      </c>
    </row>
    <row r="154" spans="1:16" x14ac:dyDescent="0.35">
      <c r="A154" t="s">
        <v>3</v>
      </c>
      <c r="B154">
        <v>5599</v>
      </c>
      <c r="C154">
        <v>2015</v>
      </c>
      <c r="D154">
        <v>6</v>
      </c>
      <c r="E154" s="6">
        <f t="shared" si="12"/>
        <v>42156</v>
      </c>
      <c r="F154" s="1">
        <v>709.31667000000004</v>
      </c>
      <c r="G154" s="1">
        <v>19536.3</v>
      </c>
      <c r="H154" s="1">
        <v>2859707.1</v>
      </c>
      <c r="I154" s="1">
        <v>32902.68</v>
      </c>
      <c r="J154" s="7">
        <f t="shared" si="13"/>
        <v>661.01815991438627</v>
      </c>
      <c r="K154" s="1">
        <f t="shared" si="14"/>
        <v>661.01815991438627</v>
      </c>
      <c r="L154" s="13">
        <f t="shared" si="15"/>
        <v>0.62744698695512391</v>
      </c>
      <c r="M154" s="1">
        <v>0</v>
      </c>
      <c r="N154" s="1">
        <v>0</v>
      </c>
      <c r="O154" t="str">
        <f t="shared" si="16"/>
        <v>Producer</v>
      </c>
      <c r="P154" s="15">
        <f t="shared" si="17"/>
        <v>0.98516204166666677</v>
      </c>
    </row>
    <row r="155" spans="1:16" x14ac:dyDescent="0.35">
      <c r="A155" t="s">
        <v>3</v>
      </c>
      <c r="B155">
        <v>5599</v>
      </c>
      <c r="C155">
        <v>2015</v>
      </c>
      <c r="D155">
        <v>7</v>
      </c>
      <c r="E155" s="6">
        <f t="shared" si="12"/>
        <v>42186</v>
      </c>
      <c r="F155" s="1">
        <v>744</v>
      </c>
      <c r="G155" s="1">
        <v>19157.45</v>
      </c>
      <c r="H155" s="1">
        <v>2846820.92</v>
      </c>
      <c r="I155" s="1">
        <v>36480.53</v>
      </c>
      <c r="J155" s="7">
        <f t="shared" si="13"/>
        <v>617.98225806451615</v>
      </c>
      <c r="K155" s="1">
        <f t="shared" si="14"/>
        <v>617.98225806451615</v>
      </c>
      <c r="L155" s="13">
        <f t="shared" si="15"/>
        <v>0.6556767517440425</v>
      </c>
      <c r="M155" s="1">
        <v>0</v>
      </c>
      <c r="N155" s="1">
        <v>0</v>
      </c>
      <c r="O155" t="str">
        <f t="shared" si="16"/>
        <v>Producer</v>
      </c>
      <c r="P155" s="15">
        <f t="shared" si="17"/>
        <v>1</v>
      </c>
    </row>
    <row r="156" spans="1:16" x14ac:dyDescent="0.35">
      <c r="A156" t="s">
        <v>3</v>
      </c>
      <c r="B156">
        <v>5599</v>
      </c>
      <c r="C156">
        <v>2015</v>
      </c>
      <c r="D156">
        <v>8</v>
      </c>
      <c r="E156" s="6">
        <f t="shared" si="12"/>
        <v>42217</v>
      </c>
      <c r="F156" s="1">
        <v>636.68332999999996</v>
      </c>
      <c r="G156" s="1">
        <v>13473.27</v>
      </c>
      <c r="H156" s="1">
        <v>2047120.71</v>
      </c>
      <c r="I156" s="1">
        <v>31629.02</v>
      </c>
      <c r="J156" s="7">
        <f t="shared" si="13"/>
        <v>507.87960790492195</v>
      </c>
      <c r="K156" s="1">
        <f t="shared" si="14"/>
        <v>507.87960790492195</v>
      </c>
      <c r="L156" s="13">
        <f t="shared" si="15"/>
        <v>0.70127303957293519</v>
      </c>
      <c r="M156" s="1">
        <v>0</v>
      </c>
      <c r="N156" s="1">
        <v>0</v>
      </c>
      <c r="O156" t="str">
        <f t="shared" si="16"/>
        <v>Producer</v>
      </c>
      <c r="P156" s="15">
        <f t="shared" si="17"/>
        <v>0.85575716397849455</v>
      </c>
    </row>
    <row r="157" spans="1:16" x14ac:dyDescent="0.35">
      <c r="A157" t="s">
        <v>3</v>
      </c>
      <c r="B157">
        <v>5599</v>
      </c>
      <c r="C157">
        <v>2015</v>
      </c>
      <c r="D157">
        <v>9</v>
      </c>
      <c r="E157" s="6">
        <f t="shared" si="12"/>
        <v>42248</v>
      </c>
      <c r="F157" s="1">
        <v>719.32485999999994</v>
      </c>
      <c r="G157" s="1">
        <v>12494.51</v>
      </c>
      <c r="H157" s="1">
        <v>1888048.66</v>
      </c>
      <c r="I157" s="1">
        <v>35065.360000000001</v>
      </c>
      <c r="J157" s="7">
        <f t="shared" si="13"/>
        <v>416.87456763276612</v>
      </c>
      <c r="K157" s="1">
        <f t="shared" si="14"/>
        <v>416.87456763276612</v>
      </c>
      <c r="L157" s="13">
        <f t="shared" si="15"/>
        <v>0.73728881092399956</v>
      </c>
      <c r="M157" s="1">
        <v>0</v>
      </c>
      <c r="N157" s="1">
        <v>0</v>
      </c>
      <c r="O157" t="str">
        <f t="shared" si="16"/>
        <v>Producer</v>
      </c>
      <c r="P157" s="15">
        <f t="shared" si="17"/>
        <v>0.99906230555555553</v>
      </c>
    </row>
    <row r="158" spans="1:16" x14ac:dyDescent="0.35">
      <c r="A158" t="s">
        <v>3</v>
      </c>
      <c r="B158">
        <v>5599</v>
      </c>
      <c r="C158">
        <v>2015</v>
      </c>
      <c r="D158">
        <v>10</v>
      </c>
      <c r="E158" s="6">
        <f t="shared" si="12"/>
        <v>42278</v>
      </c>
      <c r="F158" s="1">
        <v>738.66666999999995</v>
      </c>
      <c r="G158" s="1">
        <v>11888.63</v>
      </c>
      <c r="H158" s="1">
        <v>1821328.15</v>
      </c>
      <c r="I158" s="1">
        <v>38151.120000000003</v>
      </c>
      <c r="J158" s="7">
        <f t="shared" si="13"/>
        <v>386.27317515219687</v>
      </c>
      <c r="K158" s="1">
        <f t="shared" si="14"/>
        <v>386.27317515219687</v>
      </c>
      <c r="L158" s="13">
        <f t="shared" si="15"/>
        <v>0.76241627905814879</v>
      </c>
      <c r="M158" s="1">
        <v>0</v>
      </c>
      <c r="N158" s="1">
        <v>0</v>
      </c>
      <c r="O158" t="str">
        <f t="shared" si="16"/>
        <v>Producer</v>
      </c>
      <c r="P158" s="15">
        <f t="shared" si="17"/>
        <v>0.99283154569892462</v>
      </c>
    </row>
    <row r="159" spans="1:16" x14ac:dyDescent="0.35">
      <c r="A159" t="s">
        <v>3</v>
      </c>
      <c r="B159">
        <v>5599</v>
      </c>
      <c r="C159">
        <v>2015</v>
      </c>
      <c r="D159">
        <v>11</v>
      </c>
      <c r="E159" s="6">
        <f t="shared" si="12"/>
        <v>42309</v>
      </c>
      <c r="F159" s="1">
        <v>719.50000999999997</v>
      </c>
      <c r="G159" s="1">
        <v>11369.48</v>
      </c>
      <c r="H159" s="1">
        <v>1748311.35</v>
      </c>
      <c r="I159" s="1">
        <v>37662.5</v>
      </c>
      <c r="J159" s="7">
        <f t="shared" si="13"/>
        <v>379.24602669567719</v>
      </c>
      <c r="K159" s="1">
        <f t="shared" si="14"/>
        <v>379.24602669567719</v>
      </c>
      <c r="L159" s="13">
        <f t="shared" si="15"/>
        <v>0.76812113237115864</v>
      </c>
      <c r="M159" s="1">
        <v>0</v>
      </c>
      <c r="N159" s="1">
        <v>0</v>
      </c>
      <c r="O159" t="str">
        <f t="shared" si="16"/>
        <v>Producer</v>
      </c>
      <c r="P159" s="15">
        <f t="shared" si="17"/>
        <v>0.99930556944444437</v>
      </c>
    </row>
    <row r="160" spans="1:16" x14ac:dyDescent="0.35">
      <c r="A160" t="s">
        <v>3</v>
      </c>
      <c r="B160">
        <v>5599</v>
      </c>
      <c r="C160">
        <v>2015</v>
      </c>
      <c r="D160">
        <v>12</v>
      </c>
      <c r="E160" s="6">
        <f t="shared" si="12"/>
        <v>42339</v>
      </c>
      <c r="F160" s="1">
        <v>731.33334000000002</v>
      </c>
      <c r="G160" s="1">
        <v>10855.97</v>
      </c>
      <c r="H160" s="1">
        <v>1662453.18</v>
      </c>
      <c r="I160" s="1">
        <v>37288</v>
      </c>
      <c r="J160" s="7">
        <f t="shared" si="13"/>
        <v>356.25790012526977</v>
      </c>
      <c r="K160" s="1">
        <f t="shared" si="14"/>
        <v>356.25790012526977</v>
      </c>
      <c r="L160" s="13">
        <f t="shared" si="15"/>
        <v>0.77451028654263454</v>
      </c>
      <c r="M160" s="1">
        <v>0</v>
      </c>
      <c r="N160" s="1">
        <v>0</v>
      </c>
      <c r="O160" t="str">
        <f t="shared" si="16"/>
        <v>Producer</v>
      </c>
      <c r="P160" s="15">
        <f t="shared" si="17"/>
        <v>0.98297491935483872</v>
      </c>
    </row>
    <row r="161" spans="1:16" x14ac:dyDescent="0.35">
      <c r="A161" t="s">
        <v>3</v>
      </c>
      <c r="B161">
        <v>5599</v>
      </c>
      <c r="C161">
        <v>2016</v>
      </c>
      <c r="D161">
        <v>1</v>
      </c>
      <c r="E161" s="6">
        <f t="shared" si="12"/>
        <v>42370</v>
      </c>
      <c r="F161" s="1">
        <v>736.49999000000003</v>
      </c>
      <c r="G161" s="1">
        <v>9494.98</v>
      </c>
      <c r="H161" s="1">
        <v>1487340.06</v>
      </c>
      <c r="I161" s="1">
        <v>38969.86</v>
      </c>
      <c r="J161" s="7">
        <f t="shared" si="13"/>
        <v>309.40872110534582</v>
      </c>
      <c r="K161" s="1">
        <f t="shared" si="14"/>
        <v>309.40872110534582</v>
      </c>
      <c r="L161" s="13">
        <f t="shared" si="15"/>
        <v>0.80408518835510456</v>
      </c>
      <c r="M161" s="1">
        <v>0</v>
      </c>
      <c r="N161" s="1">
        <v>0</v>
      </c>
      <c r="O161" t="str">
        <f t="shared" si="16"/>
        <v>Producer</v>
      </c>
      <c r="P161" s="15">
        <f t="shared" si="17"/>
        <v>0.98991934139784954</v>
      </c>
    </row>
    <row r="162" spans="1:16" x14ac:dyDescent="0.35">
      <c r="A162" t="s">
        <v>3</v>
      </c>
      <c r="B162">
        <v>5599</v>
      </c>
      <c r="C162">
        <v>2016</v>
      </c>
      <c r="D162">
        <v>2</v>
      </c>
      <c r="E162" s="6">
        <f t="shared" si="12"/>
        <v>42401</v>
      </c>
      <c r="F162" s="1">
        <v>695.58333000000005</v>
      </c>
      <c r="G162" s="1">
        <v>7644.12</v>
      </c>
      <c r="H162" s="1">
        <v>1205549.1000000001</v>
      </c>
      <c r="I162" s="1">
        <v>35253.46</v>
      </c>
      <c r="J162" s="7">
        <f t="shared" si="13"/>
        <v>263.74824135017724</v>
      </c>
      <c r="K162" s="1">
        <f t="shared" si="14"/>
        <v>263.74824135017724</v>
      </c>
      <c r="L162" s="13">
        <f t="shared" si="15"/>
        <v>0.82180533260850608</v>
      </c>
      <c r="M162" s="1">
        <v>0</v>
      </c>
      <c r="N162" s="1">
        <v>0</v>
      </c>
      <c r="O162" t="str">
        <f t="shared" si="16"/>
        <v>Producer</v>
      </c>
      <c r="P162" s="15">
        <f t="shared" si="17"/>
        <v>0.99940133620689664</v>
      </c>
    </row>
    <row r="163" spans="1:16" x14ac:dyDescent="0.35">
      <c r="A163" t="s">
        <v>3</v>
      </c>
      <c r="B163">
        <v>5599</v>
      </c>
      <c r="C163">
        <v>2016</v>
      </c>
      <c r="D163">
        <v>3</v>
      </c>
      <c r="E163" s="6">
        <f t="shared" si="12"/>
        <v>42430</v>
      </c>
      <c r="F163" s="1">
        <v>743</v>
      </c>
      <c r="G163" s="1">
        <v>7359.93</v>
      </c>
      <c r="H163" s="1">
        <v>1185893.56</v>
      </c>
      <c r="I163" s="1">
        <v>40507.21</v>
      </c>
      <c r="J163" s="7">
        <f t="shared" si="13"/>
        <v>237.73663526244954</v>
      </c>
      <c r="K163" s="1">
        <f t="shared" si="14"/>
        <v>237.73663526244954</v>
      </c>
      <c r="L163" s="13">
        <f t="shared" si="15"/>
        <v>0.84624253715596964</v>
      </c>
      <c r="M163" s="1">
        <v>0</v>
      </c>
      <c r="N163" s="1">
        <v>0</v>
      </c>
      <c r="O163" t="str">
        <f t="shared" si="16"/>
        <v>Producer</v>
      </c>
      <c r="P163" s="15">
        <f t="shared" si="17"/>
        <v>0.99865591397849462</v>
      </c>
    </row>
    <row r="164" spans="1:16" x14ac:dyDescent="0.35">
      <c r="A164" t="s">
        <v>3</v>
      </c>
      <c r="B164">
        <v>5599</v>
      </c>
      <c r="C164">
        <v>2016</v>
      </c>
      <c r="D164">
        <v>4</v>
      </c>
      <c r="E164" s="6">
        <f t="shared" si="12"/>
        <v>42461</v>
      </c>
      <c r="F164" s="1">
        <v>718.83333000000005</v>
      </c>
      <c r="G164" s="1">
        <v>6152.17</v>
      </c>
      <c r="H164" s="1">
        <v>1015034.36</v>
      </c>
      <c r="I164" s="1">
        <v>37126.04</v>
      </c>
      <c r="J164" s="7">
        <f t="shared" si="13"/>
        <v>205.40516673037405</v>
      </c>
      <c r="K164" s="1">
        <f t="shared" si="14"/>
        <v>205.40516673037405</v>
      </c>
      <c r="L164" s="13">
        <f t="shared" si="15"/>
        <v>0.85784601535045002</v>
      </c>
      <c r="M164" s="1">
        <v>0</v>
      </c>
      <c r="N164" s="1">
        <v>0</v>
      </c>
      <c r="O164" t="str">
        <f t="shared" si="16"/>
        <v>Producer</v>
      </c>
      <c r="P164" s="15">
        <f t="shared" si="17"/>
        <v>0.9983796250000001</v>
      </c>
    </row>
    <row r="165" spans="1:16" x14ac:dyDescent="0.35">
      <c r="A165" t="s">
        <v>3</v>
      </c>
      <c r="B165">
        <v>5599</v>
      </c>
      <c r="C165">
        <v>2016</v>
      </c>
      <c r="D165">
        <v>5</v>
      </c>
      <c r="E165" s="6">
        <f t="shared" si="12"/>
        <v>42491</v>
      </c>
      <c r="F165" s="1">
        <v>740.5</v>
      </c>
      <c r="G165" s="1">
        <v>5865.13</v>
      </c>
      <c r="H165" s="1">
        <v>925513.84</v>
      </c>
      <c r="I165" s="1">
        <v>36147.78</v>
      </c>
      <c r="J165" s="7">
        <f t="shared" si="13"/>
        <v>190.09199189736665</v>
      </c>
      <c r="K165" s="1">
        <f t="shared" si="14"/>
        <v>190.09199189736665</v>
      </c>
      <c r="L165" s="13">
        <f t="shared" si="15"/>
        <v>0.86039695893476553</v>
      </c>
      <c r="M165" s="1">
        <v>0</v>
      </c>
      <c r="N165" s="1">
        <v>0</v>
      </c>
      <c r="O165" t="str">
        <f t="shared" si="16"/>
        <v>Producer</v>
      </c>
      <c r="P165" s="15">
        <f t="shared" si="17"/>
        <v>0.99529569892473113</v>
      </c>
    </row>
    <row r="166" spans="1:16" x14ac:dyDescent="0.35">
      <c r="A166" t="s">
        <v>3</v>
      </c>
      <c r="B166">
        <v>5599</v>
      </c>
      <c r="C166">
        <v>2016</v>
      </c>
      <c r="D166">
        <v>6</v>
      </c>
      <c r="E166" s="6">
        <f t="shared" si="12"/>
        <v>42522</v>
      </c>
      <c r="F166" s="1">
        <v>703.25833</v>
      </c>
      <c r="G166" s="1">
        <v>5408.31</v>
      </c>
      <c r="H166" s="1">
        <v>870533.4</v>
      </c>
      <c r="I166" s="1">
        <v>34608.449999999997</v>
      </c>
      <c r="J166" s="7">
        <f t="shared" si="13"/>
        <v>184.5686491904049</v>
      </c>
      <c r="K166" s="1">
        <f t="shared" si="14"/>
        <v>184.5686491904049</v>
      </c>
      <c r="L166" s="13">
        <f t="shared" si="15"/>
        <v>0.86484887831998392</v>
      </c>
      <c r="M166" s="1">
        <v>0</v>
      </c>
      <c r="N166" s="1">
        <v>0</v>
      </c>
      <c r="O166" t="str">
        <f t="shared" si="16"/>
        <v>Producer</v>
      </c>
      <c r="P166" s="15">
        <f t="shared" si="17"/>
        <v>0.97674768055555561</v>
      </c>
    </row>
    <row r="167" spans="1:16" x14ac:dyDescent="0.35">
      <c r="A167" t="s">
        <v>3</v>
      </c>
      <c r="B167">
        <v>5599</v>
      </c>
      <c r="C167">
        <v>2016</v>
      </c>
      <c r="D167">
        <v>7</v>
      </c>
      <c r="E167" s="6">
        <f t="shared" si="12"/>
        <v>42552</v>
      </c>
      <c r="F167" s="1">
        <v>703.72592999999995</v>
      </c>
      <c r="G167" s="1">
        <v>4533.82</v>
      </c>
      <c r="H167" s="1">
        <v>729319.16</v>
      </c>
      <c r="I167" s="1">
        <v>29940.18</v>
      </c>
      <c r="J167" s="7">
        <f t="shared" si="13"/>
        <v>154.62224050774995</v>
      </c>
      <c r="K167" s="1">
        <f t="shared" si="14"/>
        <v>154.62224050774995</v>
      </c>
      <c r="L167" s="13">
        <f t="shared" si="15"/>
        <v>0.86848581539711089</v>
      </c>
      <c r="M167" s="1">
        <v>0</v>
      </c>
      <c r="N167" s="1">
        <v>0</v>
      </c>
      <c r="O167" t="str">
        <f t="shared" si="16"/>
        <v>Producer</v>
      </c>
      <c r="P167" s="15">
        <f t="shared" si="17"/>
        <v>0.94586818548387086</v>
      </c>
    </row>
    <row r="168" spans="1:16" x14ac:dyDescent="0.35">
      <c r="A168" t="s">
        <v>3</v>
      </c>
      <c r="B168">
        <v>5599</v>
      </c>
      <c r="C168">
        <v>2016</v>
      </c>
      <c r="D168">
        <v>8</v>
      </c>
      <c r="E168" s="6">
        <f t="shared" si="12"/>
        <v>42583</v>
      </c>
      <c r="F168" s="1">
        <v>285.89166999999998</v>
      </c>
      <c r="G168" s="1">
        <v>1442.03</v>
      </c>
      <c r="H168" s="1">
        <v>232557.71</v>
      </c>
      <c r="I168" s="1">
        <v>10937.14</v>
      </c>
      <c r="J168" s="7">
        <f t="shared" si="13"/>
        <v>121.05536338292055</v>
      </c>
      <c r="K168" s="1">
        <f t="shared" si="14"/>
        <v>121.05536338292055</v>
      </c>
      <c r="L168" s="13">
        <f t="shared" si="15"/>
        <v>0.88351157630115751</v>
      </c>
      <c r="M168" s="1">
        <v>0</v>
      </c>
      <c r="N168" s="1">
        <v>0</v>
      </c>
      <c r="O168" t="str">
        <f t="shared" si="16"/>
        <v>Producer</v>
      </c>
      <c r="P168" s="15">
        <f t="shared" si="17"/>
        <v>0.38426299731182795</v>
      </c>
    </row>
    <row r="169" spans="1:16" x14ac:dyDescent="0.35">
      <c r="A169" t="s">
        <v>3</v>
      </c>
      <c r="B169">
        <v>5599</v>
      </c>
      <c r="C169">
        <v>2016</v>
      </c>
      <c r="D169">
        <v>9</v>
      </c>
      <c r="E169" s="6">
        <f t="shared" si="12"/>
        <v>42614</v>
      </c>
      <c r="F169" s="1">
        <v>0</v>
      </c>
      <c r="G169" s="1">
        <v>0</v>
      </c>
      <c r="H169" s="1">
        <v>0</v>
      </c>
      <c r="I169" s="1">
        <v>0</v>
      </c>
      <c r="J169" s="7" t="str">
        <f t="shared" si="13"/>
        <v/>
      </c>
      <c r="K169" s="1" t="str">
        <f t="shared" si="14"/>
        <v/>
      </c>
      <c r="L169" s="13" t="str">
        <f t="shared" si="15"/>
        <v/>
      </c>
      <c r="M169" s="1">
        <v>0</v>
      </c>
      <c r="N169" s="1">
        <v>0</v>
      </c>
      <c r="O169" t="str">
        <f t="shared" si="16"/>
        <v>No production</v>
      </c>
      <c r="P169" s="15" t="str">
        <f t="shared" si="17"/>
        <v/>
      </c>
    </row>
    <row r="170" spans="1:16" x14ac:dyDescent="0.35">
      <c r="A170" t="s">
        <v>4</v>
      </c>
      <c r="B170">
        <v>5351</v>
      </c>
      <c r="C170">
        <v>2008</v>
      </c>
      <c r="D170">
        <v>2</v>
      </c>
      <c r="E170" s="6">
        <f t="shared" si="12"/>
        <v>39479</v>
      </c>
      <c r="F170" s="1">
        <v>0</v>
      </c>
      <c r="G170" s="1">
        <v>0</v>
      </c>
      <c r="H170" s="1">
        <v>0</v>
      </c>
      <c r="I170" s="1">
        <v>0</v>
      </c>
      <c r="J170" s="7" t="str">
        <f t="shared" si="13"/>
        <v/>
      </c>
      <c r="K170" s="1" t="str">
        <f t="shared" si="14"/>
        <v/>
      </c>
      <c r="L170" s="13" t="str">
        <f t="shared" si="15"/>
        <v/>
      </c>
      <c r="M170" s="1">
        <v>0</v>
      </c>
      <c r="N170" s="1">
        <v>0</v>
      </c>
      <c r="O170" t="str">
        <f t="shared" si="16"/>
        <v>No production</v>
      </c>
      <c r="P170" s="15" t="str">
        <f t="shared" si="17"/>
        <v/>
      </c>
    </row>
    <row r="171" spans="1:16" x14ac:dyDescent="0.35">
      <c r="A171" t="s">
        <v>4</v>
      </c>
      <c r="B171">
        <v>5351</v>
      </c>
      <c r="C171">
        <v>2008</v>
      </c>
      <c r="D171">
        <v>3</v>
      </c>
      <c r="E171" s="6">
        <f t="shared" si="12"/>
        <v>39508</v>
      </c>
      <c r="F171" s="1">
        <v>0</v>
      </c>
      <c r="G171" s="1">
        <v>0</v>
      </c>
      <c r="H171" s="1">
        <v>0</v>
      </c>
      <c r="I171" s="1">
        <v>0</v>
      </c>
      <c r="J171" s="7" t="str">
        <f t="shared" si="13"/>
        <v/>
      </c>
      <c r="K171" s="1" t="str">
        <f t="shared" si="14"/>
        <v/>
      </c>
      <c r="L171" s="13" t="str">
        <f t="shared" si="15"/>
        <v/>
      </c>
      <c r="M171" s="1">
        <v>0</v>
      </c>
      <c r="N171" s="1">
        <v>0</v>
      </c>
      <c r="O171" t="str">
        <f t="shared" si="16"/>
        <v>No production</v>
      </c>
      <c r="P171" s="15" t="str">
        <f t="shared" si="17"/>
        <v/>
      </c>
    </row>
    <row r="172" spans="1:16" x14ac:dyDescent="0.35">
      <c r="A172" t="s">
        <v>4</v>
      </c>
      <c r="B172">
        <v>5351</v>
      </c>
      <c r="C172">
        <v>2008</v>
      </c>
      <c r="D172">
        <v>4</v>
      </c>
      <c r="E172" s="6">
        <f t="shared" si="12"/>
        <v>39539</v>
      </c>
      <c r="F172" s="1">
        <v>0</v>
      </c>
      <c r="G172" s="1">
        <v>0</v>
      </c>
      <c r="H172" s="1">
        <v>0</v>
      </c>
      <c r="I172" s="1">
        <v>0</v>
      </c>
      <c r="J172" s="7" t="str">
        <f t="shared" si="13"/>
        <v/>
      </c>
      <c r="K172" s="1" t="str">
        <f t="shared" si="14"/>
        <v/>
      </c>
      <c r="L172" s="13" t="str">
        <f t="shared" si="15"/>
        <v/>
      </c>
      <c r="M172" s="1">
        <v>0</v>
      </c>
      <c r="N172" s="1">
        <v>0</v>
      </c>
      <c r="O172" t="str">
        <f t="shared" si="16"/>
        <v>No production</v>
      </c>
      <c r="P172" s="15" t="str">
        <f t="shared" si="17"/>
        <v/>
      </c>
    </row>
    <row r="173" spans="1:16" x14ac:dyDescent="0.35">
      <c r="A173" t="s">
        <v>4</v>
      </c>
      <c r="B173">
        <v>5351</v>
      </c>
      <c r="C173">
        <v>2008</v>
      </c>
      <c r="D173">
        <v>5</v>
      </c>
      <c r="E173" s="6">
        <f t="shared" si="12"/>
        <v>39569</v>
      </c>
      <c r="F173" s="1">
        <v>0</v>
      </c>
      <c r="G173" s="1">
        <v>0</v>
      </c>
      <c r="H173" s="1">
        <v>0</v>
      </c>
      <c r="I173" s="1">
        <v>0</v>
      </c>
      <c r="J173" s="7" t="str">
        <f t="shared" si="13"/>
        <v/>
      </c>
      <c r="K173" s="1" t="str">
        <f t="shared" si="14"/>
        <v/>
      </c>
      <c r="L173" s="13" t="str">
        <f t="shared" si="15"/>
        <v/>
      </c>
      <c r="M173" s="1">
        <v>0</v>
      </c>
      <c r="N173" s="1">
        <v>0</v>
      </c>
      <c r="O173" t="str">
        <f t="shared" si="16"/>
        <v>No production</v>
      </c>
      <c r="P173" s="15" t="str">
        <f t="shared" si="17"/>
        <v/>
      </c>
    </row>
    <row r="174" spans="1:16" x14ac:dyDescent="0.35">
      <c r="A174" t="s">
        <v>4</v>
      </c>
      <c r="B174">
        <v>5351</v>
      </c>
      <c r="C174">
        <v>2008</v>
      </c>
      <c r="D174">
        <v>6</v>
      </c>
      <c r="E174" s="6">
        <f t="shared" si="12"/>
        <v>39600</v>
      </c>
      <c r="F174" s="1">
        <v>0</v>
      </c>
      <c r="G174" s="1">
        <v>0</v>
      </c>
      <c r="H174" s="1">
        <v>0</v>
      </c>
      <c r="I174" s="1">
        <v>0</v>
      </c>
      <c r="J174" s="7" t="str">
        <f t="shared" si="13"/>
        <v/>
      </c>
      <c r="K174" s="1" t="str">
        <f t="shared" si="14"/>
        <v/>
      </c>
      <c r="L174" s="13" t="str">
        <f t="shared" si="15"/>
        <v/>
      </c>
      <c r="M174" s="1">
        <v>0</v>
      </c>
      <c r="N174" s="1">
        <v>0</v>
      </c>
      <c r="O174" t="str">
        <f t="shared" si="16"/>
        <v>No production</v>
      </c>
      <c r="P174" s="15" t="str">
        <f t="shared" si="17"/>
        <v/>
      </c>
    </row>
    <row r="175" spans="1:16" x14ac:dyDescent="0.35">
      <c r="A175" t="s">
        <v>4</v>
      </c>
      <c r="B175">
        <v>5351</v>
      </c>
      <c r="C175">
        <v>2008</v>
      </c>
      <c r="D175">
        <v>7</v>
      </c>
      <c r="E175" s="6">
        <f t="shared" si="12"/>
        <v>39630</v>
      </c>
      <c r="F175" s="1">
        <v>437.57</v>
      </c>
      <c r="G175" s="1">
        <v>51285.08</v>
      </c>
      <c r="H175" s="1">
        <v>7538861.0700000003</v>
      </c>
      <c r="I175" s="1">
        <v>126.17</v>
      </c>
      <c r="J175" s="7">
        <f t="shared" si="13"/>
        <v>2812.9028955367144</v>
      </c>
      <c r="K175" s="1">
        <f t="shared" si="14"/>
        <v>2812.9028955367144</v>
      </c>
      <c r="L175" s="13">
        <f t="shared" si="15"/>
        <v>2.454132120887938E-3</v>
      </c>
      <c r="M175" s="1">
        <v>0</v>
      </c>
      <c r="N175" s="1">
        <v>0</v>
      </c>
      <c r="O175" t="str">
        <f t="shared" si="16"/>
        <v>Producer</v>
      </c>
      <c r="P175" s="15">
        <f t="shared" si="17"/>
        <v>0.58813172043010753</v>
      </c>
    </row>
    <row r="176" spans="1:16" x14ac:dyDescent="0.35">
      <c r="A176" t="s">
        <v>4</v>
      </c>
      <c r="B176">
        <v>5351</v>
      </c>
      <c r="C176">
        <v>2008</v>
      </c>
      <c r="D176">
        <v>8</v>
      </c>
      <c r="E176" s="6">
        <f t="shared" si="12"/>
        <v>39661</v>
      </c>
      <c r="F176" s="1">
        <v>458.4</v>
      </c>
      <c r="G176" s="1">
        <v>67621.2</v>
      </c>
      <c r="H176" s="1">
        <v>9780532.3399999999</v>
      </c>
      <c r="I176" s="1">
        <v>222.53</v>
      </c>
      <c r="J176" s="7">
        <f t="shared" si="13"/>
        <v>3540.3769633507854</v>
      </c>
      <c r="K176" s="1">
        <f t="shared" si="14"/>
        <v>3540.3769633507854</v>
      </c>
      <c r="L176" s="13">
        <f t="shared" si="15"/>
        <v>3.2800378163169979E-3</v>
      </c>
      <c r="M176" s="1">
        <v>0</v>
      </c>
      <c r="N176" s="1">
        <v>0</v>
      </c>
      <c r="O176" t="str">
        <f t="shared" si="16"/>
        <v>Producer</v>
      </c>
      <c r="P176" s="15">
        <f t="shared" si="17"/>
        <v>0.61612903225806448</v>
      </c>
    </row>
    <row r="177" spans="1:16" x14ac:dyDescent="0.35">
      <c r="A177" t="s">
        <v>4</v>
      </c>
      <c r="B177">
        <v>5351</v>
      </c>
      <c r="C177">
        <v>2008</v>
      </c>
      <c r="D177">
        <v>9</v>
      </c>
      <c r="E177" s="6">
        <f t="shared" si="12"/>
        <v>39692</v>
      </c>
      <c r="F177" s="1">
        <v>642.70833000000005</v>
      </c>
      <c r="G177" s="1">
        <v>114596.26</v>
      </c>
      <c r="H177" s="1">
        <v>16340514.75</v>
      </c>
      <c r="I177" s="1">
        <v>275.73</v>
      </c>
      <c r="J177" s="7">
        <f t="shared" si="13"/>
        <v>4279.2509628745584</v>
      </c>
      <c r="K177" s="1">
        <f t="shared" si="14"/>
        <v>4279.2509628745584</v>
      </c>
      <c r="L177" s="13">
        <f t="shared" si="15"/>
        <v>2.4003240476638391E-3</v>
      </c>
      <c r="M177" s="1">
        <v>0</v>
      </c>
      <c r="N177" s="1">
        <v>0</v>
      </c>
      <c r="O177" t="str">
        <f t="shared" si="16"/>
        <v>Producer</v>
      </c>
      <c r="P177" s="15">
        <f t="shared" si="17"/>
        <v>0.89265045833333345</v>
      </c>
    </row>
    <row r="178" spans="1:16" x14ac:dyDescent="0.35">
      <c r="A178" t="s">
        <v>4</v>
      </c>
      <c r="B178">
        <v>5351</v>
      </c>
      <c r="C178">
        <v>2008</v>
      </c>
      <c r="D178">
        <v>10</v>
      </c>
      <c r="E178" s="6">
        <f t="shared" si="12"/>
        <v>39722</v>
      </c>
      <c r="F178" s="1">
        <v>742.5</v>
      </c>
      <c r="G178" s="1">
        <v>142817.06</v>
      </c>
      <c r="H178" s="1">
        <v>20326866.32</v>
      </c>
      <c r="I178" s="1">
        <v>101.25</v>
      </c>
      <c r="J178" s="7">
        <f t="shared" si="13"/>
        <v>4616.3090101010102</v>
      </c>
      <c r="K178" s="1">
        <f t="shared" si="14"/>
        <v>4616.3090101010102</v>
      </c>
      <c r="L178" s="13">
        <f t="shared" si="15"/>
        <v>7.0844666439170739E-4</v>
      </c>
      <c r="M178" s="1">
        <v>0</v>
      </c>
      <c r="N178" s="1">
        <v>0</v>
      </c>
      <c r="O178" t="str">
        <f t="shared" si="16"/>
        <v>Producer</v>
      </c>
      <c r="P178" s="15">
        <f t="shared" si="17"/>
        <v>0.99798387096774188</v>
      </c>
    </row>
    <row r="179" spans="1:16" x14ac:dyDescent="0.35">
      <c r="A179" t="s">
        <v>4</v>
      </c>
      <c r="B179">
        <v>5351</v>
      </c>
      <c r="C179">
        <v>2008</v>
      </c>
      <c r="D179">
        <v>11</v>
      </c>
      <c r="E179" s="6">
        <f t="shared" si="12"/>
        <v>39753</v>
      </c>
      <c r="F179" s="1">
        <v>717.83333000000005</v>
      </c>
      <c r="G179" s="1">
        <v>104409.61</v>
      </c>
      <c r="H179" s="1">
        <v>14906020.01</v>
      </c>
      <c r="I179" s="1">
        <v>189.89</v>
      </c>
      <c r="J179" s="7">
        <f t="shared" si="13"/>
        <v>3490.8251473918044</v>
      </c>
      <c r="K179" s="1">
        <f t="shared" si="14"/>
        <v>3490.8251473918044</v>
      </c>
      <c r="L179" s="13">
        <f t="shared" si="15"/>
        <v>1.8154006472306272E-3</v>
      </c>
      <c r="M179" s="1">
        <v>0</v>
      </c>
      <c r="N179" s="1">
        <v>0</v>
      </c>
      <c r="O179" t="str">
        <f t="shared" si="16"/>
        <v>Producer</v>
      </c>
      <c r="P179" s="15">
        <f t="shared" si="17"/>
        <v>0.99699073611111122</v>
      </c>
    </row>
    <row r="180" spans="1:16" x14ac:dyDescent="0.35">
      <c r="A180" t="s">
        <v>4</v>
      </c>
      <c r="B180">
        <v>5351</v>
      </c>
      <c r="C180">
        <v>2008</v>
      </c>
      <c r="D180">
        <v>12</v>
      </c>
      <c r="E180" s="6">
        <f t="shared" si="12"/>
        <v>39783</v>
      </c>
      <c r="F180" s="1">
        <v>744</v>
      </c>
      <c r="G180" s="1">
        <v>110199.28</v>
      </c>
      <c r="H180" s="1">
        <v>15956253.449999999</v>
      </c>
      <c r="I180" s="1">
        <v>66.540000000000006</v>
      </c>
      <c r="J180" s="7">
        <f t="shared" si="13"/>
        <v>3554.8154838709679</v>
      </c>
      <c r="K180" s="1">
        <f t="shared" si="14"/>
        <v>3554.8154838709679</v>
      </c>
      <c r="L180" s="13">
        <f t="shared" si="15"/>
        <v>6.0345082456195415E-4</v>
      </c>
      <c r="M180" s="1">
        <v>0</v>
      </c>
      <c r="N180" s="1">
        <v>0</v>
      </c>
      <c r="O180" t="str">
        <f t="shared" si="16"/>
        <v>Producer</v>
      </c>
      <c r="P180" s="15">
        <f t="shared" si="17"/>
        <v>1</v>
      </c>
    </row>
    <row r="181" spans="1:16" x14ac:dyDescent="0.35">
      <c r="A181" t="s">
        <v>4</v>
      </c>
      <c r="B181">
        <v>5351</v>
      </c>
      <c r="C181">
        <v>2009</v>
      </c>
      <c r="D181">
        <v>1</v>
      </c>
      <c r="E181" s="6">
        <f t="shared" si="12"/>
        <v>39814</v>
      </c>
      <c r="F181" s="1">
        <v>705.16665</v>
      </c>
      <c r="G181" s="1">
        <v>115572.66</v>
      </c>
      <c r="H181" s="1">
        <v>16718455.33</v>
      </c>
      <c r="I181" s="1">
        <v>977.79</v>
      </c>
      <c r="J181" s="7">
        <f t="shared" si="13"/>
        <v>3933.4586228659564</v>
      </c>
      <c r="K181" s="1">
        <f t="shared" si="14"/>
        <v>3933.4586228659564</v>
      </c>
      <c r="L181" s="13">
        <f t="shared" si="15"/>
        <v>8.3894141978859797E-3</v>
      </c>
      <c r="M181" s="1">
        <v>0</v>
      </c>
      <c r="N181" s="1">
        <v>0</v>
      </c>
      <c r="O181" t="str">
        <f t="shared" si="16"/>
        <v>Producer</v>
      </c>
      <c r="P181" s="15">
        <f t="shared" si="17"/>
        <v>0.94780463709677421</v>
      </c>
    </row>
    <row r="182" spans="1:16" x14ac:dyDescent="0.35">
      <c r="A182" t="s">
        <v>4</v>
      </c>
      <c r="B182">
        <v>5351</v>
      </c>
      <c r="C182">
        <v>2009</v>
      </c>
      <c r="D182">
        <v>2</v>
      </c>
      <c r="E182" s="6">
        <f t="shared" si="12"/>
        <v>39845</v>
      </c>
      <c r="F182" s="1">
        <v>638.41668000000004</v>
      </c>
      <c r="G182" s="1">
        <v>113880.98</v>
      </c>
      <c r="H182" s="1">
        <v>16254377.439999999</v>
      </c>
      <c r="I182" s="1">
        <v>2529.2399999999998</v>
      </c>
      <c r="J182" s="7">
        <f t="shared" si="13"/>
        <v>4281.1279930843912</v>
      </c>
      <c r="K182" s="1">
        <f t="shared" si="14"/>
        <v>4281.1279930843912</v>
      </c>
      <c r="L182" s="13">
        <f t="shared" si="15"/>
        <v>2.1726958337506791E-2</v>
      </c>
      <c r="M182" s="1">
        <v>0</v>
      </c>
      <c r="N182" s="1">
        <v>0</v>
      </c>
      <c r="O182" t="str">
        <f t="shared" si="16"/>
        <v>Producer</v>
      </c>
      <c r="P182" s="15">
        <f t="shared" si="17"/>
        <v>0.95002482142857148</v>
      </c>
    </row>
    <row r="183" spans="1:16" x14ac:dyDescent="0.35">
      <c r="A183" t="s">
        <v>4</v>
      </c>
      <c r="B183">
        <v>5351</v>
      </c>
      <c r="C183">
        <v>2009</v>
      </c>
      <c r="D183">
        <v>3</v>
      </c>
      <c r="E183" s="6">
        <f t="shared" si="12"/>
        <v>39873</v>
      </c>
      <c r="F183" s="1">
        <v>530.80332999999996</v>
      </c>
      <c r="G183" s="1">
        <v>90644.44</v>
      </c>
      <c r="H183" s="1">
        <v>12702463.220000001</v>
      </c>
      <c r="I183" s="1">
        <v>1678.17</v>
      </c>
      <c r="J183" s="7">
        <f t="shared" si="13"/>
        <v>4098.4418089464516</v>
      </c>
      <c r="K183" s="1">
        <f t="shared" si="14"/>
        <v>4098.4418089464516</v>
      </c>
      <c r="L183" s="13">
        <f t="shared" si="15"/>
        <v>1.8177237406958056E-2</v>
      </c>
      <c r="M183" s="1">
        <v>0</v>
      </c>
      <c r="N183" s="1">
        <v>0</v>
      </c>
      <c r="O183" t="str">
        <f t="shared" si="16"/>
        <v>Producer</v>
      </c>
      <c r="P183" s="15">
        <f t="shared" si="17"/>
        <v>0.71344533602150528</v>
      </c>
    </row>
    <row r="184" spans="1:16" x14ac:dyDescent="0.35">
      <c r="A184" t="s">
        <v>4</v>
      </c>
      <c r="B184">
        <v>5351</v>
      </c>
      <c r="C184">
        <v>2009</v>
      </c>
      <c r="D184">
        <v>4</v>
      </c>
      <c r="E184" s="6">
        <f t="shared" si="12"/>
        <v>39904</v>
      </c>
      <c r="F184" s="1">
        <v>537.63333999999998</v>
      </c>
      <c r="G184" s="1">
        <v>86944.06</v>
      </c>
      <c r="H184" s="1">
        <v>11926656.18</v>
      </c>
      <c r="I184" s="1">
        <v>246.47</v>
      </c>
      <c r="J184" s="7">
        <f t="shared" si="13"/>
        <v>3881.1905526543428</v>
      </c>
      <c r="K184" s="1">
        <f t="shared" si="14"/>
        <v>3881.1905526543428</v>
      </c>
      <c r="L184" s="13">
        <f t="shared" si="15"/>
        <v>2.8267978185245578E-3</v>
      </c>
      <c r="M184" s="1">
        <v>0</v>
      </c>
      <c r="N184" s="1">
        <v>0</v>
      </c>
      <c r="O184" t="str">
        <f t="shared" si="16"/>
        <v>Producer</v>
      </c>
      <c r="P184" s="15">
        <f t="shared" si="17"/>
        <v>0.74671297222222222</v>
      </c>
    </row>
    <row r="185" spans="1:16" x14ac:dyDescent="0.35">
      <c r="A185" t="s">
        <v>4</v>
      </c>
      <c r="B185">
        <v>5351</v>
      </c>
      <c r="C185">
        <v>2009</v>
      </c>
      <c r="D185">
        <v>5</v>
      </c>
      <c r="E185" s="6">
        <f t="shared" si="12"/>
        <v>39934</v>
      </c>
      <c r="F185" s="1">
        <v>694.66666999999995</v>
      </c>
      <c r="G185" s="1">
        <v>116175.03999999999</v>
      </c>
      <c r="H185" s="1">
        <v>15944548.83</v>
      </c>
      <c r="I185" s="1">
        <v>3440.05</v>
      </c>
      <c r="J185" s="7">
        <f t="shared" si="13"/>
        <v>4013.7249711433542</v>
      </c>
      <c r="K185" s="1">
        <f t="shared" si="14"/>
        <v>4013.7249711433542</v>
      </c>
      <c r="L185" s="13">
        <f t="shared" si="15"/>
        <v>2.8759331285041045E-2</v>
      </c>
      <c r="M185" s="1">
        <v>0</v>
      </c>
      <c r="N185" s="1">
        <v>0</v>
      </c>
      <c r="O185" t="str">
        <f t="shared" si="16"/>
        <v>Producer</v>
      </c>
      <c r="P185" s="15">
        <f t="shared" si="17"/>
        <v>0.93369176075268812</v>
      </c>
    </row>
    <row r="186" spans="1:16" x14ac:dyDescent="0.35">
      <c r="A186" t="s">
        <v>4</v>
      </c>
      <c r="B186">
        <v>5351</v>
      </c>
      <c r="C186">
        <v>2009</v>
      </c>
      <c r="D186">
        <v>6</v>
      </c>
      <c r="E186" s="6">
        <f t="shared" si="12"/>
        <v>39965</v>
      </c>
      <c r="F186" s="1">
        <v>691.89998000000003</v>
      </c>
      <c r="G186" s="1">
        <v>86654.03</v>
      </c>
      <c r="H186" s="1">
        <v>12141881.109999999</v>
      </c>
      <c r="I186" s="1">
        <v>5731.18</v>
      </c>
      <c r="J186" s="7">
        <f t="shared" si="13"/>
        <v>3005.7765285670334</v>
      </c>
      <c r="K186" s="1">
        <f t="shared" si="14"/>
        <v>3005.7765285670334</v>
      </c>
      <c r="L186" s="13">
        <f t="shared" si="15"/>
        <v>6.2035687314019212E-2</v>
      </c>
      <c r="M186" s="1">
        <v>0</v>
      </c>
      <c r="N186" s="1">
        <v>0</v>
      </c>
      <c r="O186" t="str">
        <f t="shared" si="16"/>
        <v>Producer</v>
      </c>
      <c r="P186" s="15">
        <f t="shared" si="17"/>
        <v>0.96097219444444448</v>
      </c>
    </row>
    <row r="187" spans="1:16" x14ac:dyDescent="0.35">
      <c r="A187" t="s">
        <v>4</v>
      </c>
      <c r="B187">
        <v>5351</v>
      </c>
      <c r="C187">
        <v>2009</v>
      </c>
      <c r="D187">
        <v>7</v>
      </c>
      <c r="E187" s="6">
        <f t="shared" si="12"/>
        <v>39995</v>
      </c>
      <c r="F187" s="1">
        <v>742.16665999999998</v>
      </c>
      <c r="G187" s="1">
        <v>64871.82</v>
      </c>
      <c r="H187" s="1">
        <v>9127860.4900000002</v>
      </c>
      <c r="I187" s="1">
        <v>6772.73</v>
      </c>
      <c r="J187" s="7">
        <f t="shared" si="13"/>
        <v>2097.8087051229168</v>
      </c>
      <c r="K187" s="1">
        <f t="shared" si="14"/>
        <v>2097.8087051229168</v>
      </c>
      <c r="L187" s="13">
        <f t="shared" si="15"/>
        <v>9.4532382435230586E-2</v>
      </c>
      <c r="M187" s="1">
        <v>0</v>
      </c>
      <c r="N187" s="1">
        <v>0</v>
      </c>
      <c r="O187" t="str">
        <f t="shared" si="16"/>
        <v>Producer</v>
      </c>
      <c r="P187" s="15">
        <f t="shared" si="17"/>
        <v>0.99753583333333329</v>
      </c>
    </row>
    <row r="188" spans="1:16" x14ac:dyDescent="0.35">
      <c r="A188" t="s">
        <v>4</v>
      </c>
      <c r="B188">
        <v>5351</v>
      </c>
      <c r="C188">
        <v>2009</v>
      </c>
      <c r="D188">
        <v>8</v>
      </c>
      <c r="E188" s="6">
        <f t="shared" si="12"/>
        <v>40026</v>
      </c>
      <c r="F188" s="1">
        <v>656.82497999999998</v>
      </c>
      <c r="G188" s="1">
        <v>112493.5</v>
      </c>
      <c r="H188" s="1">
        <v>15664621.810000001</v>
      </c>
      <c r="I188" s="1">
        <v>20793.78</v>
      </c>
      <c r="J188" s="7">
        <f t="shared" si="13"/>
        <v>4110.446591114729</v>
      </c>
      <c r="K188" s="1">
        <f t="shared" si="14"/>
        <v>4110.446591114729</v>
      </c>
      <c r="L188" s="13">
        <f t="shared" si="15"/>
        <v>0.15600723489893409</v>
      </c>
      <c r="M188" s="1">
        <v>0</v>
      </c>
      <c r="N188" s="1">
        <v>0</v>
      </c>
      <c r="O188" t="str">
        <f t="shared" si="16"/>
        <v>Producer</v>
      </c>
      <c r="P188" s="15">
        <f t="shared" si="17"/>
        <v>0.8828292741935484</v>
      </c>
    </row>
    <row r="189" spans="1:16" x14ac:dyDescent="0.35">
      <c r="A189" t="s">
        <v>4</v>
      </c>
      <c r="B189">
        <v>5351</v>
      </c>
      <c r="C189">
        <v>2009</v>
      </c>
      <c r="D189">
        <v>9</v>
      </c>
      <c r="E189" s="6">
        <f t="shared" si="12"/>
        <v>40057</v>
      </c>
      <c r="F189" s="1">
        <v>509.07501000000002</v>
      </c>
      <c r="G189" s="1">
        <v>90349.8</v>
      </c>
      <c r="H189" s="1">
        <v>12564633.24</v>
      </c>
      <c r="I189" s="1">
        <v>15274.84</v>
      </c>
      <c r="J189" s="7">
        <f t="shared" si="13"/>
        <v>4259.4807393904484</v>
      </c>
      <c r="K189" s="1">
        <f t="shared" si="14"/>
        <v>4259.4807393904484</v>
      </c>
      <c r="L189" s="13">
        <f t="shared" si="15"/>
        <v>0.14461436270930722</v>
      </c>
      <c r="M189" s="1">
        <v>0</v>
      </c>
      <c r="N189" s="1">
        <v>0</v>
      </c>
      <c r="O189" t="str">
        <f t="shared" si="16"/>
        <v>Producer</v>
      </c>
      <c r="P189" s="15">
        <f t="shared" si="17"/>
        <v>0.70704862499999999</v>
      </c>
    </row>
    <row r="190" spans="1:16" x14ac:dyDescent="0.35">
      <c r="A190" t="s">
        <v>4</v>
      </c>
      <c r="B190">
        <v>5351</v>
      </c>
      <c r="C190">
        <v>2009</v>
      </c>
      <c r="D190">
        <v>10</v>
      </c>
      <c r="E190" s="6">
        <f t="shared" si="12"/>
        <v>40087</v>
      </c>
      <c r="F190" s="1">
        <v>655.42498999999998</v>
      </c>
      <c r="G190" s="1">
        <v>96707.32</v>
      </c>
      <c r="H190" s="1">
        <v>13556584.82</v>
      </c>
      <c r="I190" s="1">
        <v>26099.06</v>
      </c>
      <c r="J190" s="7">
        <f t="shared" si="13"/>
        <v>3541.1766646248875</v>
      </c>
      <c r="K190" s="1">
        <f t="shared" si="14"/>
        <v>3541.1766646248875</v>
      </c>
      <c r="L190" s="13">
        <f t="shared" si="15"/>
        <v>0.21252202043574608</v>
      </c>
      <c r="M190" s="1">
        <v>0</v>
      </c>
      <c r="N190" s="1">
        <v>0</v>
      </c>
      <c r="O190" t="str">
        <f t="shared" si="16"/>
        <v>Producer</v>
      </c>
      <c r="P190" s="15">
        <f t="shared" si="17"/>
        <v>0.88094756720430101</v>
      </c>
    </row>
    <row r="191" spans="1:16" x14ac:dyDescent="0.35">
      <c r="A191" t="s">
        <v>4</v>
      </c>
      <c r="B191">
        <v>5351</v>
      </c>
      <c r="C191">
        <v>2009</v>
      </c>
      <c r="D191">
        <v>11</v>
      </c>
      <c r="E191" s="6">
        <f t="shared" si="12"/>
        <v>40118</v>
      </c>
      <c r="F191" s="1">
        <v>709.25000999999997</v>
      </c>
      <c r="G191" s="1">
        <v>98043.5</v>
      </c>
      <c r="H191" s="1">
        <v>13821883.66</v>
      </c>
      <c r="I191" s="1">
        <v>39016.449999999997</v>
      </c>
      <c r="J191" s="7">
        <f t="shared" si="13"/>
        <v>3317.6509930539164</v>
      </c>
      <c r="K191" s="1">
        <f t="shared" si="14"/>
        <v>3317.6509930539164</v>
      </c>
      <c r="L191" s="13">
        <f t="shared" si="15"/>
        <v>0.28466703803700494</v>
      </c>
      <c r="M191" s="1">
        <v>0</v>
      </c>
      <c r="N191" s="1">
        <v>0</v>
      </c>
      <c r="O191" t="str">
        <f t="shared" si="16"/>
        <v>Producer</v>
      </c>
      <c r="P191" s="15">
        <f t="shared" si="17"/>
        <v>0.98506945833333326</v>
      </c>
    </row>
    <row r="192" spans="1:16" x14ac:dyDescent="0.35">
      <c r="A192" t="s">
        <v>4</v>
      </c>
      <c r="B192">
        <v>5351</v>
      </c>
      <c r="C192">
        <v>2009</v>
      </c>
      <c r="D192">
        <v>12</v>
      </c>
      <c r="E192" s="6">
        <f t="shared" si="12"/>
        <v>40148</v>
      </c>
      <c r="F192" s="1">
        <v>726.66666999999995</v>
      </c>
      <c r="G192" s="1">
        <v>89514.35</v>
      </c>
      <c r="H192" s="1">
        <v>12552907.779999999</v>
      </c>
      <c r="I192" s="1">
        <v>56173.42</v>
      </c>
      <c r="J192" s="7">
        <f t="shared" si="13"/>
        <v>2956.4372341447838</v>
      </c>
      <c r="K192" s="1">
        <f t="shared" si="14"/>
        <v>2956.4372341447838</v>
      </c>
      <c r="L192" s="13">
        <f t="shared" si="15"/>
        <v>0.38557402587739514</v>
      </c>
      <c r="M192" s="1">
        <v>0</v>
      </c>
      <c r="N192" s="1">
        <v>0</v>
      </c>
      <c r="O192" t="str">
        <f t="shared" si="16"/>
        <v>Producer</v>
      </c>
      <c r="P192" s="15">
        <f t="shared" si="17"/>
        <v>0.97670251344086012</v>
      </c>
    </row>
    <row r="193" spans="1:16" x14ac:dyDescent="0.35">
      <c r="A193" t="s">
        <v>4</v>
      </c>
      <c r="B193">
        <v>5351</v>
      </c>
      <c r="C193">
        <v>2010</v>
      </c>
      <c r="D193">
        <v>1</v>
      </c>
      <c r="E193" s="6">
        <f t="shared" si="12"/>
        <v>40179</v>
      </c>
      <c r="F193" s="1">
        <v>742.16665999999998</v>
      </c>
      <c r="G193" s="1">
        <v>82221.25</v>
      </c>
      <c r="H193" s="1">
        <v>11561301.92</v>
      </c>
      <c r="I193" s="1">
        <v>70004.160000000003</v>
      </c>
      <c r="J193" s="7">
        <f t="shared" si="13"/>
        <v>2658.8502372229982</v>
      </c>
      <c r="K193" s="1">
        <f t="shared" si="14"/>
        <v>2658.8502372229982</v>
      </c>
      <c r="L193" s="13">
        <f t="shared" si="15"/>
        <v>0.4598717126135512</v>
      </c>
      <c r="M193" s="1">
        <v>0</v>
      </c>
      <c r="N193" s="1">
        <v>0</v>
      </c>
      <c r="O193" t="str">
        <f t="shared" si="16"/>
        <v>Producer</v>
      </c>
      <c r="P193" s="15">
        <f t="shared" si="17"/>
        <v>0.99753583333333329</v>
      </c>
    </row>
    <row r="194" spans="1:16" x14ac:dyDescent="0.35">
      <c r="A194" t="s">
        <v>4</v>
      </c>
      <c r="B194">
        <v>5351</v>
      </c>
      <c r="C194">
        <v>2010</v>
      </c>
      <c r="D194">
        <v>2</v>
      </c>
      <c r="E194" s="6">
        <f t="shared" si="12"/>
        <v>40210</v>
      </c>
      <c r="F194" s="1">
        <v>610.17499999999995</v>
      </c>
      <c r="G194" s="1">
        <v>62092.98</v>
      </c>
      <c r="H194" s="1">
        <v>8751248.2899999991</v>
      </c>
      <c r="I194" s="1">
        <v>62000.25</v>
      </c>
      <c r="J194" s="7">
        <f t="shared" si="13"/>
        <v>2442.3018314418</v>
      </c>
      <c r="K194" s="1">
        <f t="shared" si="14"/>
        <v>2442.3018314418</v>
      </c>
      <c r="L194" s="13">
        <f t="shared" si="15"/>
        <v>0.49962636962548235</v>
      </c>
      <c r="M194" s="1">
        <v>0</v>
      </c>
      <c r="N194" s="1">
        <v>0</v>
      </c>
      <c r="O194" t="str">
        <f t="shared" si="16"/>
        <v>Producer</v>
      </c>
      <c r="P194" s="15">
        <f t="shared" si="17"/>
        <v>0.90799851190476188</v>
      </c>
    </row>
    <row r="195" spans="1:16" x14ac:dyDescent="0.35">
      <c r="A195" t="s">
        <v>4</v>
      </c>
      <c r="B195">
        <v>5351</v>
      </c>
      <c r="C195">
        <v>2010</v>
      </c>
      <c r="D195">
        <v>3</v>
      </c>
      <c r="E195" s="6">
        <f t="shared" ref="E195:E258" si="18">DATE(C195, D195, 1)</f>
        <v>40238</v>
      </c>
      <c r="F195" s="1">
        <v>654.10832000000005</v>
      </c>
      <c r="G195" s="1">
        <v>66989.25</v>
      </c>
      <c r="H195" s="1">
        <v>9421805.3599999994</v>
      </c>
      <c r="I195" s="1">
        <v>64560.85</v>
      </c>
      <c r="J195" s="7">
        <f t="shared" ref="J195:J258" si="19">IF(F195&gt;0,G195/(F195/24),"")</f>
        <v>2457.9140042126355</v>
      </c>
      <c r="K195" s="1">
        <f t="shared" ref="K195:K258" si="20">+J195</f>
        <v>2457.9140042126355</v>
      </c>
      <c r="L195" s="13">
        <f t="shared" ref="L195:L258" si="21">+IF((G195+I195)&gt;0,I195/(G195+I195),"")</f>
        <v>0.49077005642717109</v>
      </c>
      <c r="M195" s="1">
        <v>0</v>
      </c>
      <c r="N195" s="1">
        <v>0</v>
      </c>
      <c r="O195" t="str">
        <f t="shared" ref="O195:O258" si="22">IF(F195&gt;0,IF(N(N195)&gt;0,"Injector",IF(N(G195)&gt;0,"Producer","Inactive")),"No production")</f>
        <v>Producer</v>
      </c>
      <c r="P195" s="15">
        <f t="shared" ref="P195:P258" si="23">+IF(F195&gt;0,F195/(DAY(EOMONTH(E195,0))*24),"")</f>
        <v>0.87917784946236566</v>
      </c>
    </row>
    <row r="196" spans="1:16" x14ac:dyDescent="0.35">
      <c r="A196" t="s">
        <v>4</v>
      </c>
      <c r="B196">
        <v>5351</v>
      </c>
      <c r="C196">
        <v>2010</v>
      </c>
      <c r="D196">
        <v>4</v>
      </c>
      <c r="E196" s="6">
        <f t="shared" si="18"/>
        <v>40269</v>
      </c>
      <c r="F196" s="1">
        <v>679.80832999999996</v>
      </c>
      <c r="G196" s="1">
        <v>73035.81</v>
      </c>
      <c r="H196" s="1">
        <v>10288470.42</v>
      </c>
      <c r="I196" s="1">
        <v>69865.31</v>
      </c>
      <c r="J196" s="7">
        <f t="shared" si="19"/>
        <v>2578.4612553953261</v>
      </c>
      <c r="K196" s="1">
        <f t="shared" si="20"/>
        <v>2578.4612553953261</v>
      </c>
      <c r="L196" s="13">
        <f t="shared" si="21"/>
        <v>0.48890666497225493</v>
      </c>
      <c r="M196" s="1">
        <v>0</v>
      </c>
      <c r="N196" s="1">
        <v>0</v>
      </c>
      <c r="O196" t="str">
        <f t="shared" si="22"/>
        <v>Producer</v>
      </c>
      <c r="P196" s="15">
        <f t="shared" si="23"/>
        <v>0.94417823611111107</v>
      </c>
    </row>
    <row r="197" spans="1:16" x14ac:dyDescent="0.35">
      <c r="A197" t="s">
        <v>4</v>
      </c>
      <c r="B197">
        <v>5351</v>
      </c>
      <c r="C197">
        <v>2010</v>
      </c>
      <c r="D197">
        <v>5</v>
      </c>
      <c r="E197" s="6">
        <f t="shared" si="18"/>
        <v>40299</v>
      </c>
      <c r="F197" s="1">
        <v>740.16666999999995</v>
      </c>
      <c r="G197" s="1">
        <v>87809.279999999999</v>
      </c>
      <c r="H197" s="1">
        <v>12490295.91</v>
      </c>
      <c r="I197" s="1">
        <v>85315.44</v>
      </c>
      <c r="J197" s="7">
        <f t="shared" si="19"/>
        <v>2847.227260314221</v>
      </c>
      <c r="K197" s="1">
        <f t="shared" si="20"/>
        <v>2847.227260314221</v>
      </c>
      <c r="L197" s="13">
        <f t="shared" si="21"/>
        <v>0.49279756235851241</v>
      </c>
      <c r="M197" s="1">
        <v>0</v>
      </c>
      <c r="N197" s="1">
        <v>0</v>
      </c>
      <c r="O197" t="str">
        <f t="shared" si="22"/>
        <v>Producer</v>
      </c>
      <c r="P197" s="15">
        <f t="shared" si="23"/>
        <v>0.99484767473118274</v>
      </c>
    </row>
    <row r="198" spans="1:16" x14ac:dyDescent="0.35">
      <c r="A198" t="s">
        <v>4</v>
      </c>
      <c r="B198">
        <v>5351</v>
      </c>
      <c r="C198">
        <v>2010</v>
      </c>
      <c r="D198">
        <v>6</v>
      </c>
      <c r="E198" s="6">
        <f t="shared" si="18"/>
        <v>40330</v>
      </c>
      <c r="F198" s="1">
        <v>717.75</v>
      </c>
      <c r="G198" s="1">
        <v>75309.820000000007</v>
      </c>
      <c r="H198" s="1">
        <v>10756576.800000001</v>
      </c>
      <c r="I198" s="1">
        <v>96580.92</v>
      </c>
      <c r="J198" s="7">
        <f t="shared" si="19"/>
        <v>2518.1966980146294</v>
      </c>
      <c r="K198" s="1">
        <f t="shared" si="20"/>
        <v>2518.1966980146294</v>
      </c>
      <c r="L198" s="13">
        <f t="shared" si="21"/>
        <v>0.5618738973373435</v>
      </c>
      <c r="M198" s="1">
        <v>0</v>
      </c>
      <c r="N198" s="1">
        <v>0</v>
      </c>
      <c r="O198" t="str">
        <f t="shared" si="22"/>
        <v>Producer</v>
      </c>
      <c r="P198" s="15">
        <f t="shared" si="23"/>
        <v>0.99687499999999996</v>
      </c>
    </row>
    <row r="199" spans="1:16" x14ac:dyDescent="0.35">
      <c r="A199" t="s">
        <v>4</v>
      </c>
      <c r="B199">
        <v>5351</v>
      </c>
      <c r="C199">
        <v>2010</v>
      </c>
      <c r="D199">
        <v>7</v>
      </c>
      <c r="E199" s="6">
        <f t="shared" si="18"/>
        <v>40360</v>
      </c>
      <c r="F199" s="1">
        <v>742.41666999999995</v>
      </c>
      <c r="G199" s="1">
        <v>69600.25</v>
      </c>
      <c r="H199" s="1">
        <v>10073534.35</v>
      </c>
      <c r="I199" s="1">
        <v>101216.35</v>
      </c>
      <c r="J199" s="7">
        <f t="shared" si="19"/>
        <v>2249.9575608936693</v>
      </c>
      <c r="K199" s="1">
        <f t="shared" si="20"/>
        <v>2249.9575608936693</v>
      </c>
      <c r="L199" s="13">
        <f t="shared" si="21"/>
        <v>0.5925439916261066</v>
      </c>
      <c r="M199" s="1">
        <v>0</v>
      </c>
      <c r="N199" s="1">
        <v>0</v>
      </c>
      <c r="O199" t="str">
        <f t="shared" si="22"/>
        <v>Producer</v>
      </c>
      <c r="P199" s="15">
        <f t="shared" si="23"/>
        <v>0.99787186827956986</v>
      </c>
    </row>
    <row r="200" spans="1:16" x14ac:dyDescent="0.35">
      <c r="A200" t="s">
        <v>4</v>
      </c>
      <c r="B200">
        <v>5351</v>
      </c>
      <c r="C200">
        <v>2010</v>
      </c>
      <c r="D200">
        <v>8</v>
      </c>
      <c r="E200" s="6">
        <f t="shared" si="18"/>
        <v>40391</v>
      </c>
      <c r="F200" s="1">
        <v>425.1</v>
      </c>
      <c r="G200" s="1">
        <v>38413.730000000003</v>
      </c>
      <c r="H200" s="1">
        <v>5543252.2800000003</v>
      </c>
      <c r="I200" s="1">
        <v>56452.9</v>
      </c>
      <c r="J200" s="7">
        <f t="shared" si="19"/>
        <v>2168.7356386732531</v>
      </c>
      <c r="K200" s="1">
        <f t="shared" si="20"/>
        <v>2168.7356386732531</v>
      </c>
      <c r="L200" s="13">
        <f t="shared" si="21"/>
        <v>0.59507647736617186</v>
      </c>
      <c r="M200" s="1">
        <v>0</v>
      </c>
      <c r="N200" s="1">
        <v>0</v>
      </c>
      <c r="O200" t="str">
        <f t="shared" si="22"/>
        <v>Producer</v>
      </c>
      <c r="P200" s="15">
        <f t="shared" si="23"/>
        <v>0.57137096774193552</v>
      </c>
    </row>
    <row r="201" spans="1:16" x14ac:dyDescent="0.35">
      <c r="A201" t="s">
        <v>4</v>
      </c>
      <c r="B201">
        <v>5351</v>
      </c>
      <c r="C201">
        <v>2010</v>
      </c>
      <c r="D201">
        <v>9</v>
      </c>
      <c r="E201" s="6">
        <f t="shared" si="18"/>
        <v>40422</v>
      </c>
      <c r="F201" s="1">
        <v>566.14999</v>
      </c>
      <c r="G201" s="1">
        <v>55405.21</v>
      </c>
      <c r="H201" s="1">
        <v>8260552.1900000004</v>
      </c>
      <c r="I201" s="1">
        <v>66506.820000000007</v>
      </c>
      <c r="J201" s="7">
        <f t="shared" si="19"/>
        <v>2348.7151169957629</v>
      </c>
      <c r="K201" s="1">
        <f t="shared" si="20"/>
        <v>2348.7151169957629</v>
      </c>
      <c r="L201" s="13">
        <f t="shared" si="21"/>
        <v>0.54553123264373504</v>
      </c>
      <c r="M201" s="1">
        <v>0</v>
      </c>
      <c r="N201" s="1">
        <v>0</v>
      </c>
      <c r="O201" t="str">
        <f t="shared" si="22"/>
        <v>Producer</v>
      </c>
      <c r="P201" s="15">
        <f t="shared" si="23"/>
        <v>0.78631943055555553</v>
      </c>
    </row>
    <row r="202" spans="1:16" x14ac:dyDescent="0.35">
      <c r="A202" t="s">
        <v>4</v>
      </c>
      <c r="B202">
        <v>5351</v>
      </c>
      <c r="C202">
        <v>2010</v>
      </c>
      <c r="D202">
        <v>10</v>
      </c>
      <c r="E202" s="6">
        <f t="shared" si="18"/>
        <v>40452</v>
      </c>
      <c r="F202" s="1">
        <v>743.16665999999998</v>
      </c>
      <c r="G202" s="1">
        <v>78755.31</v>
      </c>
      <c r="H202" s="1">
        <v>11853846.58</v>
      </c>
      <c r="I202" s="1">
        <v>100949.14</v>
      </c>
      <c r="J202" s="7">
        <f t="shared" si="19"/>
        <v>2543.3426198102052</v>
      </c>
      <c r="K202" s="1">
        <f t="shared" si="20"/>
        <v>2543.3426198102052</v>
      </c>
      <c r="L202" s="13">
        <f t="shared" si="21"/>
        <v>0.56175091935675492</v>
      </c>
      <c r="M202" s="1">
        <v>0</v>
      </c>
      <c r="N202" s="1">
        <v>0</v>
      </c>
      <c r="O202" t="str">
        <f t="shared" si="22"/>
        <v>Producer</v>
      </c>
      <c r="P202" s="15">
        <f t="shared" si="23"/>
        <v>0.99887991935483866</v>
      </c>
    </row>
    <row r="203" spans="1:16" x14ac:dyDescent="0.35">
      <c r="A203" t="s">
        <v>4</v>
      </c>
      <c r="B203">
        <v>5351</v>
      </c>
      <c r="C203">
        <v>2010</v>
      </c>
      <c r="D203">
        <v>11</v>
      </c>
      <c r="E203" s="6">
        <f t="shared" si="18"/>
        <v>40483</v>
      </c>
      <c r="F203" s="1">
        <v>683.41666999999995</v>
      </c>
      <c r="G203" s="1">
        <v>62555.48</v>
      </c>
      <c r="H203" s="1">
        <v>9485348.6799999997</v>
      </c>
      <c r="I203" s="1">
        <v>96969.98</v>
      </c>
      <c r="J203" s="7">
        <f t="shared" si="19"/>
        <v>2196.802603600524</v>
      </c>
      <c r="K203" s="1">
        <f t="shared" si="20"/>
        <v>2196.802603600524</v>
      </c>
      <c r="L203" s="13">
        <f t="shared" si="21"/>
        <v>0.60786522728096193</v>
      </c>
      <c r="M203" s="1">
        <v>0</v>
      </c>
      <c r="N203" s="1">
        <v>0</v>
      </c>
      <c r="O203" t="str">
        <f t="shared" si="22"/>
        <v>Producer</v>
      </c>
      <c r="P203" s="15">
        <f t="shared" si="23"/>
        <v>0.94918981944444436</v>
      </c>
    </row>
    <row r="204" spans="1:16" x14ac:dyDescent="0.35">
      <c r="A204" t="s">
        <v>4</v>
      </c>
      <c r="B204">
        <v>5351</v>
      </c>
      <c r="C204">
        <v>2010</v>
      </c>
      <c r="D204">
        <v>12</v>
      </c>
      <c r="E204" s="6">
        <f t="shared" si="18"/>
        <v>40513</v>
      </c>
      <c r="F204" s="1">
        <v>741.5</v>
      </c>
      <c r="G204" s="1">
        <v>63886.23</v>
      </c>
      <c r="H204" s="1">
        <v>9763159.5299999993</v>
      </c>
      <c r="I204" s="1">
        <v>111640.46</v>
      </c>
      <c r="J204" s="7">
        <f t="shared" si="19"/>
        <v>2067.7943627781524</v>
      </c>
      <c r="K204" s="1">
        <f t="shared" si="20"/>
        <v>2067.7943627781524</v>
      </c>
      <c r="L204" s="13">
        <f t="shared" si="21"/>
        <v>0.63603124972048408</v>
      </c>
      <c r="M204" s="1">
        <v>0</v>
      </c>
      <c r="N204" s="1">
        <v>0</v>
      </c>
      <c r="O204" t="str">
        <f t="shared" si="22"/>
        <v>Producer</v>
      </c>
      <c r="P204" s="15">
        <f t="shared" si="23"/>
        <v>0.99663978494623651</v>
      </c>
    </row>
    <row r="205" spans="1:16" x14ac:dyDescent="0.35">
      <c r="A205" t="s">
        <v>4</v>
      </c>
      <c r="B205">
        <v>5351</v>
      </c>
      <c r="C205">
        <v>2011</v>
      </c>
      <c r="D205">
        <v>1</v>
      </c>
      <c r="E205" s="6">
        <f t="shared" si="18"/>
        <v>40544</v>
      </c>
      <c r="F205" s="1">
        <v>744</v>
      </c>
      <c r="G205" s="1">
        <v>61328.45</v>
      </c>
      <c r="H205" s="1">
        <v>9353204.4100000001</v>
      </c>
      <c r="I205" s="1">
        <v>111168.02</v>
      </c>
      <c r="J205" s="7">
        <f t="shared" si="19"/>
        <v>1978.3370967741935</v>
      </c>
      <c r="K205" s="1">
        <f t="shared" si="20"/>
        <v>1978.3370967741935</v>
      </c>
      <c r="L205" s="13">
        <f t="shared" si="21"/>
        <v>0.64446547804717402</v>
      </c>
      <c r="M205" s="1">
        <v>0</v>
      </c>
      <c r="N205" s="1">
        <v>0</v>
      </c>
      <c r="O205" t="str">
        <f t="shared" si="22"/>
        <v>Producer</v>
      </c>
      <c r="P205" s="15">
        <f t="shared" si="23"/>
        <v>1</v>
      </c>
    </row>
    <row r="206" spans="1:16" x14ac:dyDescent="0.35">
      <c r="A206" t="s">
        <v>4</v>
      </c>
      <c r="B206">
        <v>5351</v>
      </c>
      <c r="C206">
        <v>2011</v>
      </c>
      <c r="D206">
        <v>2</v>
      </c>
      <c r="E206" s="6">
        <f t="shared" si="18"/>
        <v>40575</v>
      </c>
      <c r="F206" s="1">
        <v>561.5</v>
      </c>
      <c r="G206" s="1">
        <v>44066.31</v>
      </c>
      <c r="H206" s="1">
        <v>6830109.5899999999</v>
      </c>
      <c r="I206" s="1">
        <v>79492.13</v>
      </c>
      <c r="J206" s="7">
        <f t="shared" si="19"/>
        <v>1883.5110240427427</v>
      </c>
      <c r="K206" s="1">
        <f t="shared" si="20"/>
        <v>1883.5110240427427</v>
      </c>
      <c r="L206" s="13">
        <f t="shared" si="21"/>
        <v>0.64335653638877277</v>
      </c>
      <c r="M206" s="1">
        <v>0</v>
      </c>
      <c r="N206" s="1">
        <v>0</v>
      </c>
      <c r="O206" t="str">
        <f t="shared" si="22"/>
        <v>Producer</v>
      </c>
      <c r="P206" s="15">
        <f t="shared" si="23"/>
        <v>0.83556547619047616</v>
      </c>
    </row>
    <row r="207" spans="1:16" x14ac:dyDescent="0.35">
      <c r="A207" t="s">
        <v>4</v>
      </c>
      <c r="B207">
        <v>5351</v>
      </c>
      <c r="C207">
        <v>2011</v>
      </c>
      <c r="D207">
        <v>3</v>
      </c>
      <c r="E207" s="6">
        <f t="shared" si="18"/>
        <v>40603</v>
      </c>
      <c r="F207" s="1">
        <v>732.5</v>
      </c>
      <c r="G207" s="1">
        <v>56709.96</v>
      </c>
      <c r="H207" s="1">
        <v>8733754.9700000007</v>
      </c>
      <c r="I207" s="1">
        <v>117498.23</v>
      </c>
      <c r="J207" s="7">
        <f t="shared" si="19"/>
        <v>1858.0737747440273</v>
      </c>
      <c r="K207" s="1">
        <f t="shared" si="20"/>
        <v>1858.0737747440273</v>
      </c>
      <c r="L207" s="13">
        <f t="shared" si="21"/>
        <v>0.67447018420890537</v>
      </c>
      <c r="M207" s="1">
        <v>0</v>
      </c>
      <c r="N207" s="1">
        <v>0</v>
      </c>
      <c r="O207" t="str">
        <f t="shared" si="22"/>
        <v>Producer</v>
      </c>
      <c r="P207" s="15">
        <f t="shared" si="23"/>
        <v>0.98454301075268813</v>
      </c>
    </row>
    <row r="208" spans="1:16" x14ac:dyDescent="0.35">
      <c r="A208" t="s">
        <v>4</v>
      </c>
      <c r="B208">
        <v>5351</v>
      </c>
      <c r="C208">
        <v>2011</v>
      </c>
      <c r="D208">
        <v>4</v>
      </c>
      <c r="E208" s="6">
        <f t="shared" si="18"/>
        <v>40634</v>
      </c>
      <c r="F208" s="1">
        <v>717.66666999999995</v>
      </c>
      <c r="G208" s="1">
        <v>51814.239999999998</v>
      </c>
      <c r="H208" s="1">
        <v>8052242.8799999999</v>
      </c>
      <c r="I208" s="1">
        <v>122053.6</v>
      </c>
      <c r="J208" s="7">
        <f t="shared" si="19"/>
        <v>1732.7567406746089</v>
      </c>
      <c r="K208" s="1">
        <f t="shared" si="20"/>
        <v>1732.7567406746089</v>
      </c>
      <c r="L208" s="13">
        <f t="shared" si="21"/>
        <v>0.70199066141271449</v>
      </c>
      <c r="M208" s="1">
        <v>0</v>
      </c>
      <c r="N208" s="1">
        <v>0</v>
      </c>
      <c r="O208" t="str">
        <f t="shared" si="22"/>
        <v>Producer</v>
      </c>
      <c r="P208" s="15">
        <f t="shared" si="23"/>
        <v>0.9967592638888888</v>
      </c>
    </row>
    <row r="209" spans="1:16" x14ac:dyDescent="0.35">
      <c r="A209" t="s">
        <v>4</v>
      </c>
      <c r="B209">
        <v>5351</v>
      </c>
      <c r="C209">
        <v>2011</v>
      </c>
      <c r="D209">
        <v>5</v>
      </c>
      <c r="E209" s="6">
        <f t="shared" si="18"/>
        <v>40664</v>
      </c>
      <c r="F209" s="1">
        <v>741.25</v>
      </c>
      <c r="G209" s="1">
        <v>51121.62</v>
      </c>
      <c r="H209" s="1">
        <v>7972927.6799999997</v>
      </c>
      <c r="I209" s="1">
        <v>129331.86</v>
      </c>
      <c r="J209" s="7">
        <f t="shared" si="19"/>
        <v>1655.2025362563238</v>
      </c>
      <c r="K209" s="1">
        <f t="shared" si="20"/>
        <v>1655.2025362563238</v>
      </c>
      <c r="L209" s="13">
        <f t="shared" si="21"/>
        <v>0.71670471525403667</v>
      </c>
      <c r="M209" s="1">
        <v>0</v>
      </c>
      <c r="N209" s="1">
        <v>0</v>
      </c>
      <c r="O209" t="str">
        <f t="shared" si="22"/>
        <v>Producer</v>
      </c>
      <c r="P209" s="15">
        <f t="shared" si="23"/>
        <v>0.99630376344086025</v>
      </c>
    </row>
    <row r="210" spans="1:16" x14ac:dyDescent="0.35">
      <c r="A210" t="s">
        <v>4</v>
      </c>
      <c r="B210">
        <v>5351</v>
      </c>
      <c r="C210">
        <v>2011</v>
      </c>
      <c r="D210">
        <v>6</v>
      </c>
      <c r="E210" s="6">
        <f t="shared" si="18"/>
        <v>40695</v>
      </c>
      <c r="F210" s="1">
        <v>465.17500000000001</v>
      </c>
      <c r="G210" s="1">
        <v>31194.51</v>
      </c>
      <c r="H210" s="1">
        <v>4835912.1500000004</v>
      </c>
      <c r="I210" s="1">
        <v>81258.77</v>
      </c>
      <c r="J210" s="7">
        <f t="shared" si="19"/>
        <v>1609.4335250174665</v>
      </c>
      <c r="K210" s="1">
        <f t="shared" si="20"/>
        <v>1609.4335250174665</v>
      </c>
      <c r="L210" s="13">
        <f t="shared" si="21"/>
        <v>0.72260026563920599</v>
      </c>
      <c r="M210" s="1">
        <v>0</v>
      </c>
      <c r="N210" s="1">
        <v>0</v>
      </c>
      <c r="O210" t="str">
        <f t="shared" si="22"/>
        <v>Producer</v>
      </c>
      <c r="P210" s="15">
        <f t="shared" si="23"/>
        <v>0.64607638888888885</v>
      </c>
    </row>
    <row r="211" spans="1:16" x14ac:dyDescent="0.35">
      <c r="A211" t="s">
        <v>4</v>
      </c>
      <c r="B211">
        <v>5351</v>
      </c>
      <c r="C211">
        <v>2011</v>
      </c>
      <c r="D211">
        <v>7</v>
      </c>
      <c r="E211" s="6">
        <f t="shared" si="18"/>
        <v>40725</v>
      </c>
      <c r="F211" s="1">
        <v>254.50833</v>
      </c>
      <c r="G211" s="1">
        <v>20211.310000000001</v>
      </c>
      <c r="H211" s="1">
        <v>3064565.93</v>
      </c>
      <c r="I211" s="1">
        <v>42012.13</v>
      </c>
      <c r="J211" s="7">
        <f t="shared" si="19"/>
        <v>1905.9157710083596</v>
      </c>
      <c r="K211" s="1">
        <f t="shared" si="20"/>
        <v>1905.9157710083596</v>
      </c>
      <c r="L211" s="13">
        <f t="shared" si="21"/>
        <v>0.67518173215752775</v>
      </c>
      <c r="M211" s="1">
        <v>0</v>
      </c>
      <c r="N211" s="1">
        <v>0</v>
      </c>
      <c r="O211" t="str">
        <f t="shared" si="22"/>
        <v>Producer</v>
      </c>
      <c r="P211" s="15">
        <f t="shared" si="23"/>
        <v>0.34208108870967741</v>
      </c>
    </row>
    <row r="212" spans="1:16" x14ac:dyDescent="0.35">
      <c r="A212" t="s">
        <v>4</v>
      </c>
      <c r="B212">
        <v>5351</v>
      </c>
      <c r="C212">
        <v>2011</v>
      </c>
      <c r="D212">
        <v>8</v>
      </c>
      <c r="E212" s="6">
        <f t="shared" si="18"/>
        <v>40756</v>
      </c>
      <c r="F212" s="1">
        <v>652.32500000000005</v>
      </c>
      <c r="G212" s="1">
        <v>49730.28</v>
      </c>
      <c r="H212" s="1">
        <v>7681607.8899999997</v>
      </c>
      <c r="I212" s="1">
        <v>108934.77</v>
      </c>
      <c r="J212" s="7">
        <f t="shared" si="19"/>
        <v>1829.650434982562</v>
      </c>
      <c r="K212" s="1">
        <f t="shared" si="20"/>
        <v>1829.650434982562</v>
      </c>
      <c r="L212" s="13">
        <f t="shared" si="21"/>
        <v>0.68657067199109079</v>
      </c>
      <c r="M212" s="1">
        <v>0</v>
      </c>
      <c r="N212" s="1">
        <v>0</v>
      </c>
      <c r="O212" t="str">
        <f t="shared" si="22"/>
        <v>Producer</v>
      </c>
      <c r="P212" s="15">
        <f t="shared" si="23"/>
        <v>0.87678091397849467</v>
      </c>
    </row>
    <row r="213" spans="1:16" x14ac:dyDescent="0.35">
      <c r="A213" t="s">
        <v>4</v>
      </c>
      <c r="B213">
        <v>5351</v>
      </c>
      <c r="C213">
        <v>2011</v>
      </c>
      <c r="D213">
        <v>9</v>
      </c>
      <c r="E213" s="6">
        <f t="shared" si="18"/>
        <v>40787</v>
      </c>
      <c r="F213" s="1">
        <v>708</v>
      </c>
      <c r="G213" s="1">
        <v>51053.13</v>
      </c>
      <c r="H213" s="1">
        <v>8021384.1799999997</v>
      </c>
      <c r="I213" s="1">
        <v>133957.60999999999</v>
      </c>
      <c r="J213" s="7">
        <f t="shared" si="19"/>
        <v>1730.6145762711863</v>
      </c>
      <c r="K213" s="1">
        <f t="shared" si="20"/>
        <v>1730.6145762711863</v>
      </c>
      <c r="L213" s="13">
        <f t="shared" si="21"/>
        <v>0.72405315496819267</v>
      </c>
      <c r="M213" s="1">
        <v>0</v>
      </c>
      <c r="N213" s="1">
        <v>0</v>
      </c>
      <c r="O213" t="str">
        <f t="shared" si="22"/>
        <v>Producer</v>
      </c>
      <c r="P213" s="15">
        <f t="shared" si="23"/>
        <v>0.98333333333333328</v>
      </c>
    </row>
    <row r="214" spans="1:16" x14ac:dyDescent="0.35">
      <c r="A214" t="s">
        <v>4</v>
      </c>
      <c r="B214">
        <v>5351</v>
      </c>
      <c r="C214">
        <v>2011</v>
      </c>
      <c r="D214">
        <v>10</v>
      </c>
      <c r="E214" s="6">
        <f t="shared" si="18"/>
        <v>40817</v>
      </c>
      <c r="F214" s="1">
        <v>327.07499000000001</v>
      </c>
      <c r="G214" s="1">
        <v>21807.23</v>
      </c>
      <c r="H214" s="1">
        <v>3406338.4</v>
      </c>
      <c r="I214" s="1">
        <v>56487.87</v>
      </c>
      <c r="J214" s="7">
        <f t="shared" si="19"/>
        <v>1600.1636811178989</v>
      </c>
      <c r="K214" s="1">
        <f t="shared" si="20"/>
        <v>1600.1636811178989</v>
      </c>
      <c r="L214" s="13">
        <f t="shared" si="21"/>
        <v>0.7214738853389292</v>
      </c>
      <c r="M214" s="1">
        <v>0</v>
      </c>
      <c r="N214" s="1">
        <v>0</v>
      </c>
      <c r="O214" t="str">
        <f t="shared" si="22"/>
        <v>Producer</v>
      </c>
      <c r="P214" s="15">
        <f t="shared" si="23"/>
        <v>0.43961692204301078</v>
      </c>
    </row>
    <row r="215" spans="1:16" x14ac:dyDescent="0.35">
      <c r="A215" t="s">
        <v>4</v>
      </c>
      <c r="B215">
        <v>5351</v>
      </c>
      <c r="C215">
        <v>2011</v>
      </c>
      <c r="D215">
        <v>11</v>
      </c>
      <c r="E215" s="6">
        <f t="shared" si="18"/>
        <v>40848</v>
      </c>
      <c r="F215" s="1">
        <v>464.30833000000001</v>
      </c>
      <c r="G215" s="1">
        <v>35043.89</v>
      </c>
      <c r="H215" s="1">
        <v>5381237.5800000001</v>
      </c>
      <c r="I215" s="1">
        <v>73586.39</v>
      </c>
      <c r="J215" s="7">
        <f t="shared" si="19"/>
        <v>1811.4113093771116</v>
      </c>
      <c r="K215" s="1">
        <f t="shared" si="20"/>
        <v>1811.4113093771116</v>
      </c>
      <c r="L215" s="13">
        <f t="shared" si="21"/>
        <v>0.67740219393708645</v>
      </c>
      <c r="M215" s="1">
        <v>0</v>
      </c>
      <c r="N215" s="1">
        <v>0</v>
      </c>
      <c r="O215" t="str">
        <f t="shared" si="22"/>
        <v>Producer</v>
      </c>
      <c r="P215" s="15">
        <f t="shared" si="23"/>
        <v>0.64487268055555558</v>
      </c>
    </row>
    <row r="216" spans="1:16" x14ac:dyDescent="0.35">
      <c r="A216" t="s">
        <v>4</v>
      </c>
      <c r="B216">
        <v>5351</v>
      </c>
      <c r="C216">
        <v>2011</v>
      </c>
      <c r="D216">
        <v>12</v>
      </c>
      <c r="E216" s="6">
        <f t="shared" si="18"/>
        <v>40878</v>
      </c>
      <c r="F216" s="1">
        <v>436.65001000000001</v>
      </c>
      <c r="G216" s="1">
        <v>34166.400000000001</v>
      </c>
      <c r="H216" s="1">
        <v>5142969.72</v>
      </c>
      <c r="I216" s="1">
        <v>74442.899999999994</v>
      </c>
      <c r="J216" s="7">
        <f t="shared" si="19"/>
        <v>1877.9195722450575</v>
      </c>
      <c r="K216" s="1">
        <f t="shared" si="20"/>
        <v>1877.9195722450575</v>
      </c>
      <c r="L216" s="13">
        <f t="shared" si="21"/>
        <v>0.6854192044327696</v>
      </c>
      <c r="M216" s="1">
        <v>0</v>
      </c>
      <c r="N216" s="1">
        <v>0</v>
      </c>
      <c r="O216" t="str">
        <f t="shared" si="22"/>
        <v>Producer</v>
      </c>
      <c r="P216" s="15">
        <f t="shared" si="23"/>
        <v>0.5868951747311828</v>
      </c>
    </row>
    <row r="217" spans="1:16" x14ac:dyDescent="0.35">
      <c r="A217" t="s">
        <v>4</v>
      </c>
      <c r="B217">
        <v>5351</v>
      </c>
      <c r="C217">
        <v>2012</v>
      </c>
      <c r="D217">
        <v>1</v>
      </c>
      <c r="E217" s="6">
        <f t="shared" si="18"/>
        <v>40909</v>
      </c>
      <c r="F217" s="1">
        <v>363.81666999999999</v>
      </c>
      <c r="G217" s="1">
        <v>27309.23</v>
      </c>
      <c r="H217" s="1">
        <v>4156158.72</v>
      </c>
      <c r="I217" s="1">
        <v>57518.38</v>
      </c>
      <c r="J217" s="7">
        <f t="shared" si="19"/>
        <v>1801.5159118464803</v>
      </c>
      <c r="K217" s="1">
        <f t="shared" si="20"/>
        <v>1801.5159118464803</v>
      </c>
      <c r="L217" s="13">
        <f t="shared" si="21"/>
        <v>0.6780620130639069</v>
      </c>
      <c r="M217" s="1">
        <v>0</v>
      </c>
      <c r="N217" s="1">
        <v>0</v>
      </c>
      <c r="O217" t="str">
        <f t="shared" si="22"/>
        <v>Producer</v>
      </c>
      <c r="P217" s="15">
        <f t="shared" si="23"/>
        <v>0.4890009005376344</v>
      </c>
    </row>
    <row r="218" spans="1:16" x14ac:dyDescent="0.35">
      <c r="A218" t="s">
        <v>4</v>
      </c>
      <c r="B218">
        <v>5351</v>
      </c>
      <c r="C218">
        <v>2012</v>
      </c>
      <c r="D218">
        <v>2</v>
      </c>
      <c r="E218" s="6">
        <f t="shared" si="18"/>
        <v>40940</v>
      </c>
      <c r="F218" s="1">
        <v>692.66665999999998</v>
      </c>
      <c r="G218" s="1">
        <v>36797.660000000003</v>
      </c>
      <c r="H218" s="1">
        <v>5598558.9299999997</v>
      </c>
      <c r="I218" s="1">
        <v>55275.839999999997</v>
      </c>
      <c r="J218" s="7">
        <f t="shared" si="19"/>
        <v>1274.9911191048234</v>
      </c>
      <c r="K218" s="1">
        <f t="shared" si="20"/>
        <v>1274.9911191048234</v>
      </c>
      <c r="L218" s="13">
        <f t="shared" si="21"/>
        <v>0.60034472459502464</v>
      </c>
      <c r="M218" s="1">
        <v>0</v>
      </c>
      <c r="N218" s="1">
        <v>0</v>
      </c>
      <c r="O218" t="str">
        <f t="shared" si="22"/>
        <v>Producer</v>
      </c>
      <c r="P218" s="15">
        <f t="shared" si="23"/>
        <v>0.99521071839080455</v>
      </c>
    </row>
    <row r="219" spans="1:16" x14ac:dyDescent="0.35">
      <c r="A219" t="s">
        <v>4</v>
      </c>
      <c r="B219">
        <v>5351</v>
      </c>
      <c r="C219">
        <v>2012</v>
      </c>
      <c r="D219">
        <v>3</v>
      </c>
      <c r="E219" s="6">
        <f t="shared" si="18"/>
        <v>40969</v>
      </c>
      <c r="F219" s="1">
        <v>740.83334000000002</v>
      </c>
      <c r="G219" s="1">
        <v>34745.589999999997</v>
      </c>
      <c r="H219" s="1">
        <v>5378188.6699999999</v>
      </c>
      <c r="I219" s="1">
        <v>60225.91</v>
      </c>
      <c r="J219" s="7">
        <f t="shared" si="19"/>
        <v>1125.616403818975</v>
      </c>
      <c r="K219" s="1">
        <f t="shared" si="20"/>
        <v>1125.616403818975</v>
      </c>
      <c r="L219" s="13">
        <f t="shared" si="21"/>
        <v>0.63414719152587884</v>
      </c>
      <c r="M219" s="1">
        <v>0</v>
      </c>
      <c r="N219" s="1">
        <v>0</v>
      </c>
      <c r="O219" t="str">
        <f t="shared" si="22"/>
        <v>Producer</v>
      </c>
      <c r="P219" s="15">
        <f t="shared" si="23"/>
        <v>0.99574373655913984</v>
      </c>
    </row>
    <row r="220" spans="1:16" x14ac:dyDescent="0.35">
      <c r="A220" t="s">
        <v>4</v>
      </c>
      <c r="B220">
        <v>5351</v>
      </c>
      <c r="C220">
        <v>2012</v>
      </c>
      <c r="D220">
        <v>4</v>
      </c>
      <c r="E220" s="6">
        <f t="shared" si="18"/>
        <v>41000</v>
      </c>
      <c r="F220" s="1">
        <v>720</v>
      </c>
      <c r="G220" s="1">
        <v>36509.79</v>
      </c>
      <c r="H220" s="1">
        <v>5673229.8200000003</v>
      </c>
      <c r="I220" s="1">
        <v>72811.240000000005</v>
      </c>
      <c r="J220" s="7">
        <f t="shared" si="19"/>
        <v>1216.9929999999999</v>
      </c>
      <c r="K220" s="1">
        <f t="shared" si="20"/>
        <v>1216.9929999999999</v>
      </c>
      <c r="L220" s="13">
        <f t="shared" si="21"/>
        <v>0.66603141225434859</v>
      </c>
      <c r="M220" s="1">
        <v>0</v>
      </c>
      <c r="N220" s="1">
        <v>0</v>
      </c>
      <c r="O220" t="str">
        <f t="shared" si="22"/>
        <v>Producer</v>
      </c>
      <c r="P220" s="15">
        <f t="shared" si="23"/>
        <v>1</v>
      </c>
    </row>
    <row r="221" spans="1:16" x14ac:dyDescent="0.35">
      <c r="A221" t="s">
        <v>4</v>
      </c>
      <c r="B221">
        <v>5351</v>
      </c>
      <c r="C221">
        <v>2012</v>
      </c>
      <c r="D221">
        <v>5</v>
      </c>
      <c r="E221" s="6">
        <f t="shared" si="18"/>
        <v>41030</v>
      </c>
      <c r="F221" s="1">
        <v>741.08334000000002</v>
      </c>
      <c r="G221" s="1">
        <v>35051.96</v>
      </c>
      <c r="H221" s="1">
        <v>5495387.9299999997</v>
      </c>
      <c r="I221" s="1">
        <v>82877.31</v>
      </c>
      <c r="J221" s="7">
        <f t="shared" si="19"/>
        <v>1135.1584829851929</v>
      </c>
      <c r="K221" s="1">
        <f t="shared" si="20"/>
        <v>1135.1584829851929</v>
      </c>
      <c r="L221" s="13">
        <f t="shared" si="21"/>
        <v>0.70277133064590336</v>
      </c>
      <c r="M221" s="1">
        <v>0</v>
      </c>
      <c r="N221" s="1">
        <v>0</v>
      </c>
      <c r="O221" t="str">
        <f t="shared" si="22"/>
        <v>Producer</v>
      </c>
      <c r="P221" s="15">
        <f t="shared" si="23"/>
        <v>0.99607975806451621</v>
      </c>
    </row>
    <row r="222" spans="1:16" x14ac:dyDescent="0.35">
      <c r="A222" t="s">
        <v>4</v>
      </c>
      <c r="B222">
        <v>5351</v>
      </c>
      <c r="C222">
        <v>2012</v>
      </c>
      <c r="D222">
        <v>6</v>
      </c>
      <c r="E222" s="6">
        <f t="shared" si="18"/>
        <v>41061</v>
      </c>
      <c r="F222" s="1">
        <v>711.16666999999995</v>
      </c>
      <c r="G222" s="1">
        <v>31665.55</v>
      </c>
      <c r="H222" s="1">
        <v>4980411.28</v>
      </c>
      <c r="I222" s="1">
        <v>80184.2</v>
      </c>
      <c r="J222" s="7">
        <f t="shared" si="19"/>
        <v>1068.6288208641724</v>
      </c>
      <c r="K222" s="1">
        <f t="shared" si="20"/>
        <v>1068.6288208641724</v>
      </c>
      <c r="L222" s="13">
        <f t="shared" si="21"/>
        <v>0.71689208067072119</v>
      </c>
      <c r="M222" s="1">
        <v>0</v>
      </c>
      <c r="N222" s="1">
        <v>0</v>
      </c>
      <c r="O222" t="str">
        <f t="shared" si="22"/>
        <v>Producer</v>
      </c>
      <c r="P222" s="15">
        <f t="shared" si="23"/>
        <v>0.98773148611111106</v>
      </c>
    </row>
    <row r="223" spans="1:16" x14ac:dyDescent="0.35">
      <c r="A223" t="s">
        <v>4</v>
      </c>
      <c r="B223">
        <v>5351</v>
      </c>
      <c r="C223">
        <v>2012</v>
      </c>
      <c r="D223">
        <v>7</v>
      </c>
      <c r="E223" s="6">
        <f t="shared" si="18"/>
        <v>41091</v>
      </c>
      <c r="F223" s="1">
        <v>744</v>
      </c>
      <c r="G223" s="1">
        <v>32960.699999999997</v>
      </c>
      <c r="H223" s="1">
        <v>5181262.4800000004</v>
      </c>
      <c r="I223" s="1">
        <v>83969.56</v>
      </c>
      <c r="J223" s="7">
        <f t="shared" si="19"/>
        <v>1063.2483870967742</v>
      </c>
      <c r="K223" s="1">
        <f t="shared" si="20"/>
        <v>1063.2483870967742</v>
      </c>
      <c r="L223" s="13">
        <f t="shared" si="21"/>
        <v>0.7181165936003221</v>
      </c>
      <c r="M223" s="1">
        <v>0</v>
      </c>
      <c r="N223" s="1">
        <v>0</v>
      </c>
      <c r="O223" t="str">
        <f t="shared" si="22"/>
        <v>Producer</v>
      </c>
      <c r="P223" s="15">
        <f t="shared" si="23"/>
        <v>1</v>
      </c>
    </row>
    <row r="224" spans="1:16" x14ac:dyDescent="0.35">
      <c r="A224" t="s">
        <v>4</v>
      </c>
      <c r="B224">
        <v>5351</v>
      </c>
      <c r="C224">
        <v>2012</v>
      </c>
      <c r="D224">
        <v>8</v>
      </c>
      <c r="E224" s="6">
        <f t="shared" si="18"/>
        <v>41122</v>
      </c>
      <c r="F224" s="1">
        <v>288.625</v>
      </c>
      <c r="G224" s="1">
        <v>12689.84</v>
      </c>
      <c r="H224" s="1">
        <v>1974233.52</v>
      </c>
      <c r="I224" s="1">
        <v>33257.32</v>
      </c>
      <c r="J224" s="7">
        <f t="shared" si="19"/>
        <v>1055.1967431788653</v>
      </c>
      <c r="K224" s="1">
        <f t="shared" si="20"/>
        <v>1055.1967431788653</v>
      </c>
      <c r="L224" s="13">
        <f t="shared" si="21"/>
        <v>0.72381666244442522</v>
      </c>
      <c r="M224" s="1">
        <v>0</v>
      </c>
      <c r="N224" s="1">
        <v>0</v>
      </c>
      <c r="O224" t="str">
        <f t="shared" si="22"/>
        <v>Producer</v>
      </c>
      <c r="P224" s="15">
        <f t="shared" si="23"/>
        <v>0.38793682795698925</v>
      </c>
    </row>
    <row r="225" spans="1:16" x14ac:dyDescent="0.35">
      <c r="A225" t="s">
        <v>4</v>
      </c>
      <c r="B225">
        <v>5351</v>
      </c>
      <c r="C225">
        <v>2012</v>
      </c>
      <c r="D225">
        <v>9</v>
      </c>
      <c r="E225" s="6">
        <f t="shared" si="18"/>
        <v>41153</v>
      </c>
      <c r="F225" s="1">
        <v>30.783329999999999</v>
      </c>
      <c r="G225" s="1">
        <v>1655.08</v>
      </c>
      <c r="H225" s="1">
        <v>245981.03</v>
      </c>
      <c r="I225" s="1">
        <v>2918.19</v>
      </c>
      <c r="J225" s="7">
        <f t="shared" si="19"/>
        <v>1290.3711196936783</v>
      </c>
      <c r="K225" s="1">
        <f t="shared" si="20"/>
        <v>1290.3711196936783</v>
      </c>
      <c r="L225" s="13">
        <f t="shared" si="21"/>
        <v>0.63809702904048959</v>
      </c>
      <c r="M225" s="1">
        <v>0</v>
      </c>
      <c r="N225" s="1">
        <v>0</v>
      </c>
      <c r="O225" t="str">
        <f t="shared" si="22"/>
        <v>Producer</v>
      </c>
      <c r="P225" s="15">
        <f t="shared" si="23"/>
        <v>4.2754624999999997E-2</v>
      </c>
    </row>
    <row r="226" spans="1:16" x14ac:dyDescent="0.35">
      <c r="A226" t="s">
        <v>4</v>
      </c>
      <c r="B226">
        <v>5351</v>
      </c>
      <c r="C226">
        <v>2012</v>
      </c>
      <c r="D226">
        <v>10</v>
      </c>
      <c r="E226" s="6">
        <f t="shared" si="18"/>
        <v>41183</v>
      </c>
      <c r="F226" s="1">
        <v>610.17499999999995</v>
      </c>
      <c r="G226" s="1">
        <v>33944.019999999997</v>
      </c>
      <c r="H226" s="1">
        <v>5155057.8499999996</v>
      </c>
      <c r="I226" s="1">
        <v>60061.38</v>
      </c>
      <c r="J226" s="7">
        <f t="shared" si="19"/>
        <v>1335.1194001720817</v>
      </c>
      <c r="K226" s="1">
        <f t="shared" si="20"/>
        <v>1335.1194001720817</v>
      </c>
      <c r="L226" s="13">
        <f t="shared" si="21"/>
        <v>0.63891414748514452</v>
      </c>
      <c r="M226" s="1">
        <v>0</v>
      </c>
      <c r="N226" s="1">
        <v>0</v>
      </c>
      <c r="O226" t="str">
        <f t="shared" si="22"/>
        <v>Producer</v>
      </c>
      <c r="P226" s="15">
        <f t="shared" si="23"/>
        <v>0.82012768817204296</v>
      </c>
    </row>
    <row r="227" spans="1:16" x14ac:dyDescent="0.35">
      <c r="A227" t="s">
        <v>4</v>
      </c>
      <c r="B227">
        <v>5351</v>
      </c>
      <c r="C227">
        <v>2012</v>
      </c>
      <c r="D227">
        <v>11</v>
      </c>
      <c r="E227" s="6">
        <f t="shared" si="18"/>
        <v>41214</v>
      </c>
      <c r="F227" s="1">
        <v>720</v>
      </c>
      <c r="G227" s="1">
        <v>34931.660000000003</v>
      </c>
      <c r="H227" s="1">
        <v>5485685.3099999996</v>
      </c>
      <c r="I227" s="1">
        <v>87226.64</v>
      </c>
      <c r="J227" s="7">
        <f t="shared" si="19"/>
        <v>1164.3886666666667</v>
      </c>
      <c r="K227" s="1">
        <f t="shared" si="20"/>
        <v>1164.3886666666667</v>
      </c>
      <c r="L227" s="13">
        <f t="shared" si="21"/>
        <v>0.71404595512543967</v>
      </c>
      <c r="M227" s="1">
        <v>0</v>
      </c>
      <c r="N227" s="1">
        <v>0</v>
      </c>
      <c r="O227" t="str">
        <f t="shared" si="22"/>
        <v>Producer</v>
      </c>
      <c r="P227" s="15">
        <f t="shared" si="23"/>
        <v>1</v>
      </c>
    </row>
    <row r="228" spans="1:16" x14ac:dyDescent="0.35">
      <c r="A228" t="s">
        <v>4</v>
      </c>
      <c r="B228">
        <v>5351</v>
      </c>
      <c r="C228">
        <v>2012</v>
      </c>
      <c r="D228">
        <v>12</v>
      </c>
      <c r="E228" s="6">
        <f t="shared" si="18"/>
        <v>41244</v>
      </c>
      <c r="F228" s="1">
        <v>710.99999000000003</v>
      </c>
      <c r="G228" s="1">
        <v>30122.89</v>
      </c>
      <c r="H228" s="1">
        <v>4854889.04</v>
      </c>
      <c r="I228" s="1">
        <v>93523.46</v>
      </c>
      <c r="J228" s="7">
        <f t="shared" si="19"/>
        <v>1016.8064278031845</v>
      </c>
      <c r="K228" s="1">
        <f t="shared" si="20"/>
        <v>1016.8064278031845</v>
      </c>
      <c r="L228" s="13">
        <f t="shared" si="21"/>
        <v>0.75637865573872587</v>
      </c>
      <c r="M228" s="1">
        <v>0</v>
      </c>
      <c r="N228" s="1">
        <v>0</v>
      </c>
      <c r="O228" t="str">
        <f t="shared" si="22"/>
        <v>Producer</v>
      </c>
      <c r="P228" s="15">
        <f t="shared" si="23"/>
        <v>0.95564514784946242</v>
      </c>
    </row>
    <row r="229" spans="1:16" x14ac:dyDescent="0.35">
      <c r="A229" t="s">
        <v>4</v>
      </c>
      <c r="B229">
        <v>5351</v>
      </c>
      <c r="C229">
        <v>2013</v>
      </c>
      <c r="D229">
        <v>1</v>
      </c>
      <c r="E229" s="6">
        <f t="shared" si="18"/>
        <v>41275</v>
      </c>
      <c r="F229" s="1">
        <v>744</v>
      </c>
      <c r="G229" s="1">
        <v>30184.799999999999</v>
      </c>
      <c r="H229" s="1">
        <v>4834717.2</v>
      </c>
      <c r="I229" s="1">
        <v>99784.43</v>
      </c>
      <c r="J229" s="7">
        <f t="shared" si="19"/>
        <v>973.70322580645154</v>
      </c>
      <c r="K229" s="1">
        <f t="shared" si="20"/>
        <v>973.70322580645154</v>
      </c>
      <c r="L229" s="13">
        <f t="shared" si="21"/>
        <v>0.76775425998907587</v>
      </c>
      <c r="M229" s="1">
        <v>0</v>
      </c>
      <c r="N229" s="1">
        <v>0</v>
      </c>
      <c r="O229" t="str">
        <f t="shared" si="22"/>
        <v>Producer</v>
      </c>
      <c r="P229" s="15">
        <f t="shared" si="23"/>
        <v>1</v>
      </c>
    </row>
    <row r="230" spans="1:16" x14ac:dyDescent="0.35">
      <c r="A230" t="s">
        <v>4</v>
      </c>
      <c r="B230">
        <v>5351</v>
      </c>
      <c r="C230">
        <v>2013</v>
      </c>
      <c r="D230">
        <v>2</v>
      </c>
      <c r="E230" s="6">
        <f t="shared" si="18"/>
        <v>41306</v>
      </c>
      <c r="F230" s="1">
        <v>667.91666999999995</v>
      </c>
      <c r="G230" s="1">
        <v>26595.53</v>
      </c>
      <c r="H230" s="1">
        <v>4196331.8499999996</v>
      </c>
      <c r="I230" s="1">
        <v>92120.59</v>
      </c>
      <c r="J230" s="7">
        <f t="shared" si="19"/>
        <v>955.64723665303939</v>
      </c>
      <c r="K230" s="1">
        <f t="shared" si="20"/>
        <v>955.64723665303939</v>
      </c>
      <c r="L230" s="13">
        <f t="shared" si="21"/>
        <v>0.77597372623027105</v>
      </c>
      <c r="M230" s="1">
        <v>0</v>
      </c>
      <c r="N230" s="1">
        <v>0</v>
      </c>
      <c r="O230" t="str">
        <f t="shared" si="22"/>
        <v>Producer</v>
      </c>
      <c r="P230" s="15">
        <f t="shared" si="23"/>
        <v>0.99392361607142854</v>
      </c>
    </row>
    <row r="231" spans="1:16" x14ac:dyDescent="0.35">
      <c r="A231" t="s">
        <v>4</v>
      </c>
      <c r="B231">
        <v>5351</v>
      </c>
      <c r="C231">
        <v>2013</v>
      </c>
      <c r="D231">
        <v>3</v>
      </c>
      <c r="E231" s="6">
        <f t="shared" si="18"/>
        <v>41334</v>
      </c>
      <c r="F231" s="1">
        <v>508.30167</v>
      </c>
      <c r="G231" s="1">
        <v>18816.52</v>
      </c>
      <c r="H231" s="1">
        <v>2783792.79</v>
      </c>
      <c r="I231" s="1">
        <v>70618.720000000001</v>
      </c>
      <c r="J231" s="7">
        <f t="shared" si="19"/>
        <v>888.44185776529127</v>
      </c>
      <c r="K231" s="1">
        <f t="shared" si="20"/>
        <v>888.44185776529127</v>
      </c>
      <c r="L231" s="13">
        <f t="shared" si="21"/>
        <v>0.78960731809966622</v>
      </c>
      <c r="M231" s="1">
        <v>0</v>
      </c>
      <c r="N231" s="1">
        <v>0</v>
      </c>
      <c r="O231" t="str">
        <f t="shared" si="22"/>
        <v>Producer</v>
      </c>
      <c r="P231" s="15">
        <f t="shared" si="23"/>
        <v>0.68320116935483877</v>
      </c>
    </row>
    <row r="232" spans="1:16" x14ac:dyDescent="0.35">
      <c r="A232" t="s">
        <v>4</v>
      </c>
      <c r="B232">
        <v>5351</v>
      </c>
      <c r="C232">
        <v>2013</v>
      </c>
      <c r="D232">
        <v>4</v>
      </c>
      <c r="E232" s="6">
        <f t="shared" si="18"/>
        <v>41365</v>
      </c>
      <c r="F232" s="1">
        <v>557.33333000000005</v>
      </c>
      <c r="G232" s="1">
        <v>22875.42</v>
      </c>
      <c r="H232" s="1">
        <v>3676256.95</v>
      </c>
      <c r="I232" s="1">
        <v>79450.259999999995</v>
      </c>
      <c r="J232" s="7">
        <f t="shared" si="19"/>
        <v>985.06593890589659</v>
      </c>
      <c r="K232" s="1">
        <f t="shared" si="20"/>
        <v>985.06593890589659</v>
      </c>
      <c r="L232" s="13">
        <f t="shared" si="21"/>
        <v>0.77644497451666095</v>
      </c>
      <c r="M232" s="1">
        <v>0</v>
      </c>
      <c r="N232" s="1">
        <v>0</v>
      </c>
      <c r="O232" t="str">
        <f t="shared" si="22"/>
        <v>Producer</v>
      </c>
      <c r="P232" s="15">
        <f t="shared" si="23"/>
        <v>0.77407406944444446</v>
      </c>
    </row>
    <row r="233" spans="1:16" x14ac:dyDescent="0.35">
      <c r="A233" t="s">
        <v>4</v>
      </c>
      <c r="B233">
        <v>5351</v>
      </c>
      <c r="C233">
        <v>2013</v>
      </c>
      <c r="D233">
        <v>5</v>
      </c>
      <c r="E233" s="6">
        <f t="shared" si="18"/>
        <v>41395</v>
      </c>
      <c r="F233" s="1">
        <v>733.50000999999997</v>
      </c>
      <c r="G233" s="1">
        <v>27661.53</v>
      </c>
      <c r="H233" s="1">
        <v>4525932.12</v>
      </c>
      <c r="I233" s="1">
        <v>109553.2</v>
      </c>
      <c r="J233" s="7">
        <f t="shared" si="19"/>
        <v>905.08072385711353</v>
      </c>
      <c r="K233" s="1">
        <f t="shared" si="20"/>
        <v>905.08072385711353</v>
      </c>
      <c r="L233" s="13">
        <f t="shared" si="21"/>
        <v>0.79840699318506114</v>
      </c>
      <c r="M233" s="1">
        <v>0</v>
      </c>
      <c r="N233" s="1">
        <v>0</v>
      </c>
      <c r="O233" t="str">
        <f t="shared" si="22"/>
        <v>Producer</v>
      </c>
      <c r="P233" s="15">
        <f t="shared" si="23"/>
        <v>0.98588711021505371</v>
      </c>
    </row>
    <row r="234" spans="1:16" x14ac:dyDescent="0.35">
      <c r="A234" t="s">
        <v>4</v>
      </c>
      <c r="B234">
        <v>5351</v>
      </c>
      <c r="C234">
        <v>2013</v>
      </c>
      <c r="D234">
        <v>6</v>
      </c>
      <c r="E234" s="6">
        <f t="shared" si="18"/>
        <v>41426</v>
      </c>
      <c r="F234" s="1">
        <v>630.08333000000005</v>
      </c>
      <c r="G234" s="1">
        <v>22298.26</v>
      </c>
      <c r="H234" s="1">
        <v>3652742.89</v>
      </c>
      <c r="I234" s="1">
        <v>93413.24</v>
      </c>
      <c r="J234" s="7">
        <f t="shared" si="19"/>
        <v>849.34518105724192</v>
      </c>
      <c r="K234" s="1">
        <f t="shared" si="20"/>
        <v>849.34518105724192</v>
      </c>
      <c r="L234" s="13">
        <f t="shared" si="21"/>
        <v>0.80729434844419101</v>
      </c>
      <c r="M234" s="1">
        <v>0</v>
      </c>
      <c r="N234" s="1">
        <v>0</v>
      </c>
      <c r="O234" t="str">
        <f t="shared" si="22"/>
        <v>Producer</v>
      </c>
      <c r="P234" s="15">
        <f t="shared" si="23"/>
        <v>0.87511573611111115</v>
      </c>
    </row>
    <row r="235" spans="1:16" x14ac:dyDescent="0.35">
      <c r="A235" t="s">
        <v>4</v>
      </c>
      <c r="B235">
        <v>5351</v>
      </c>
      <c r="C235">
        <v>2013</v>
      </c>
      <c r="D235">
        <v>7</v>
      </c>
      <c r="E235" s="6">
        <f t="shared" si="18"/>
        <v>41456</v>
      </c>
      <c r="F235" s="1">
        <v>660.84167000000002</v>
      </c>
      <c r="G235" s="1">
        <v>22602.78</v>
      </c>
      <c r="H235" s="1">
        <v>3553396.55</v>
      </c>
      <c r="I235" s="1">
        <v>94589.45</v>
      </c>
      <c r="J235" s="7">
        <f t="shared" si="19"/>
        <v>820.87244891805915</v>
      </c>
      <c r="K235" s="1">
        <f t="shared" si="20"/>
        <v>820.87244891805915</v>
      </c>
      <c r="L235" s="13">
        <f t="shared" si="21"/>
        <v>0.80713072871810698</v>
      </c>
      <c r="M235" s="1">
        <v>0</v>
      </c>
      <c r="N235" s="1">
        <v>0</v>
      </c>
      <c r="O235" t="str">
        <f t="shared" si="22"/>
        <v>Producer</v>
      </c>
      <c r="P235" s="15">
        <f t="shared" si="23"/>
        <v>0.88822805107526881</v>
      </c>
    </row>
    <row r="236" spans="1:16" x14ac:dyDescent="0.35">
      <c r="A236" t="s">
        <v>4</v>
      </c>
      <c r="B236">
        <v>5351</v>
      </c>
      <c r="C236">
        <v>2013</v>
      </c>
      <c r="D236">
        <v>8</v>
      </c>
      <c r="E236" s="6">
        <f t="shared" si="18"/>
        <v>41487</v>
      </c>
      <c r="F236" s="1">
        <v>687.82500000000005</v>
      </c>
      <c r="G236" s="1">
        <v>21666.9</v>
      </c>
      <c r="H236" s="1">
        <v>3259563.55</v>
      </c>
      <c r="I236" s="1">
        <v>91453.17</v>
      </c>
      <c r="J236" s="7">
        <f t="shared" si="19"/>
        <v>756.01439319594374</v>
      </c>
      <c r="K236" s="1">
        <f t="shared" si="20"/>
        <v>756.01439319594374</v>
      </c>
      <c r="L236" s="13">
        <f t="shared" si="21"/>
        <v>0.80846104497636884</v>
      </c>
      <c r="M236" s="1">
        <v>0</v>
      </c>
      <c r="N236" s="1">
        <v>0</v>
      </c>
      <c r="O236" t="str">
        <f t="shared" si="22"/>
        <v>Producer</v>
      </c>
      <c r="P236" s="15">
        <f t="shared" si="23"/>
        <v>0.92449596774193554</v>
      </c>
    </row>
    <row r="237" spans="1:16" x14ac:dyDescent="0.35">
      <c r="A237" t="s">
        <v>4</v>
      </c>
      <c r="B237">
        <v>5351</v>
      </c>
      <c r="C237">
        <v>2013</v>
      </c>
      <c r="D237">
        <v>9</v>
      </c>
      <c r="E237" s="6">
        <f t="shared" si="18"/>
        <v>41518</v>
      </c>
      <c r="F237" s="1">
        <v>626.82500000000005</v>
      </c>
      <c r="G237" s="1">
        <v>17870.72</v>
      </c>
      <c r="H237" s="1">
        <v>2707856.27</v>
      </c>
      <c r="I237" s="1">
        <v>92677.05</v>
      </c>
      <c r="J237" s="7">
        <f t="shared" si="19"/>
        <v>684.23767399194344</v>
      </c>
      <c r="K237" s="1">
        <f t="shared" si="20"/>
        <v>684.23767399194344</v>
      </c>
      <c r="L237" s="13">
        <f t="shared" si="21"/>
        <v>0.83834391231953387</v>
      </c>
      <c r="M237" s="1">
        <v>0</v>
      </c>
      <c r="N237" s="1">
        <v>0</v>
      </c>
      <c r="O237" t="str">
        <f t="shared" si="22"/>
        <v>Producer</v>
      </c>
      <c r="P237" s="15">
        <f t="shared" si="23"/>
        <v>0.87059027777777787</v>
      </c>
    </row>
    <row r="238" spans="1:16" x14ac:dyDescent="0.35">
      <c r="A238" t="s">
        <v>4</v>
      </c>
      <c r="B238">
        <v>5351</v>
      </c>
      <c r="C238">
        <v>2013</v>
      </c>
      <c r="D238">
        <v>10</v>
      </c>
      <c r="E238" s="6">
        <f t="shared" si="18"/>
        <v>41548</v>
      </c>
      <c r="F238" s="1">
        <v>658.66665999999998</v>
      </c>
      <c r="G238" s="1">
        <v>18441.11</v>
      </c>
      <c r="H238" s="1">
        <v>2757135.18</v>
      </c>
      <c r="I238" s="1">
        <v>96753.57</v>
      </c>
      <c r="J238" s="7">
        <f t="shared" si="19"/>
        <v>671.9432861532722</v>
      </c>
      <c r="K238" s="1">
        <f t="shared" si="20"/>
        <v>671.9432861532722</v>
      </c>
      <c r="L238" s="13">
        <f t="shared" si="21"/>
        <v>0.8399135272566407</v>
      </c>
      <c r="M238" s="1">
        <v>0</v>
      </c>
      <c r="N238" s="1">
        <v>0</v>
      </c>
      <c r="O238" t="str">
        <f t="shared" si="22"/>
        <v>Producer</v>
      </c>
      <c r="P238" s="15">
        <f t="shared" si="23"/>
        <v>0.88530465053763441</v>
      </c>
    </row>
    <row r="239" spans="1:16" x14ac:dyDescent="0.35">
      <c r="A239" t="s">
        <v>4</v>
      </c>
      <c r="B239">
        <v>5351</v>
      </c>
      <c r="C239">
        <v>2013</v>
      </c>
      <c r="D239">
        <v>11</v>
      </c>
      <c r="E239" s="6">
        <f t="shared" si="18"/>
        <v>41579</v>
      </c>
      <c r="F239" s="1">
        <v>681.25</v>
      </c>
      <c r="G239" s="1">
        <v>19248.66</v>
      </c>
      <c r="H239" s="1">
        <v>2853579.7</v>
      </c>
      <c r="I239" s="1">
        <v>103737.87</v>
      </c>
      <c r="J239" s="7">
        <f t="shared" si="19"/>
        <v>678.11793027522936</v>
      </c>
      <c r="K239" s="1">
        <f t="shared" si="20"/>
        <v>678.11793027522936</v>
      </c>
      <c r="L239" s="13">
        <f t="shared" si="21"/>
        <v>0.84348968948062841</v>
      </c>
      <c r="M239" s="1">
        <v>0</v>
      </c>
      <c r="N239" s="1">
        <v>0</v>
      </c>
      <c r="O239" t="str">
        <f t="shared" si="22"/>
        <v>Producer</v>
      </c>
      <c r="P239" s="15">
        <f t="shared" si="23"/>
        <v>0.94618055555555558</v>
      </c>
    </row>
    <row r="240" spans="1:16" x14ac:dyDescent="0.35">
      <c r="A240" t="s">
        <v>4</v>
      </c>
      <c r="B240">
        <v>5351</v>
      </c>
      <c r="C240">
        <v>2013</v>
      </c>
      <c r="D240">
        <v>12</v>
      </c>
      <c r="E240" s="6">
        <f t="shared" si="18"/>
        <v>41609</v>
      </c>
      <c r="F240" s="1">
        <v>630.08333000000005</v>
      </c>
      <c r="G240" s="1">
        <v>15495.97</v>
      </c>
      <c r="H240" s="1">
        <v>2330523.9900000002</v>
      </c>
      <c r="I240" s="1">
        <v>97307.32</v>
      </c>
      <c r="J240" s="7">
        <f t="shared" si="19"/>
        <v>590.24459510776126</v>
      </c>
      <c r="K240" s="1">
        <f t="shared" si="20"/>
        <v>590.24459510776126</v>
      </c>
      <c r="L240" s="13">
        <f t="shared" si="21"/>
        <v>0.86262838610469605</v>
      </c>
      <c r="M240" s="1">
        <v>0</v>
      </c>
      <c r="N240" s="1">
        <v>0</v>
      </c>
      <c r="O240" t="str">
        <f t="shared" si="22"/>
        <v>Producer</v>
      </c>
      <c r="P240" s="15">
        <f t="shared" si="23"/>
        <v>0.84688619623655925</v>
      </c>
    </row>
    <row r="241" spans="1:16" x14ac:dyDescent="0.35">
      <c r="A241" t="s">
        <v>4</v>
      </c>
      <c r="B241">
        <v>5351</v>
      </c>
      <c r="C241">
        <v>2014</v>
      </c>
      <c r="D241">
        <v>1</v>
      </c>
      <c r="E241" s="6">
        <f t="shared" si="18"/>
        <v>41640</v>
      </c>
      <c r="F241" s="1">
        <v>673.25</v>
      </c>
      <c r="G241" s="1">
        <v>16686.580000000002</v>
      </c>
      <c r="H241" s="1">
        <v>2426753.21</v>
      </c>
      <c r="I241" s="1">
        <v>106725.74</v>
      </c>
      <c r="J241" s="7">
        <f t="shared" si="19"/>
        <v>594.84280727812859</v>
      </c>
      <c r="K241" s="1">
        <f t="shared" si="20"/>
        <v>594.84280727812859</v>
      </c>
      <c r="L241" s="13">
        <f t="shared" si="21"/>
        <v>0.86478999827569891</v>
      </c>
      <c r="M241" s="1">
        <v>0</v>
      </c>
      <c r="N241" s="1">
        <v>0</v>
      </c>
      <c r="O241" t="str">
        <f t="shared" si="22"/>
        <v>Producer</v>
      </c>
      <c r="P241" s="15">
        <f t="shared" si="23"/>
        <v>0.90490591397849462</v>
      </c>
    </row>
    <row r="242" spans="1:16" x14ac:dyDescent="0.35">
      <c r="A242" t="s">
        <v>4</v>
      </c>
      <c r="B242">
        <v>5351</v>
      </c>
      <c r="C242">
        <v>2014</v>
      </c>
      <c r="D242">
        <v>2</v>
      </c>
      <c r="E242" s="6">
        <f t="shared" si="18"/>
        <v>41671</v>
      </c>
      <c r="F242" s="1">
        <v>598.60834</v>
      </c>
      <c r="G242" s="1">
        <v>14766.13</v>
      </c>
      <c r="H242" s="1">
        <v>2161271.5699999998</v>
      </c>
      <c r="I242" s="1">
        <v>96430.28</v>
      </c>
      <c r="J242" s="7">
        <f t="shared" si="19"/>
        <v>592.01834708818114</v>
      </c>
      <c r="K242" s="1">
        <f t="shared" si="20"/>
        <v>592.01834708818114</v>
      </c>
      <c r="L242" s="13">
        <f t="shared" si="21"/>
        <v>0.86720677403164359</v>
      </c>
      <c r="M242" s="1">
        <v>0</v>
      </c>
      <c r="N242" s="1">
        <v>0</v>
      </c>
      <c r="O242" t="str">
        <f t="shared" si="22"/>
        <v>Producer</v>
      </c>
      <c r="P242" s="15">
        <f t="shared" si="23"/>
        <v>0.89078622023809528</v>
      </c>
    </row>
    <row r="243" spans="1:16" x14ac:dyDescent="0.35">
      <c r="A243" t="s">
        <v>4</v>
      </c>
      <c r="B243">
        <v>5351</v>
      </c>
      <c r="C243">
        <v>2014</v>
      </c>
      <c r="D243">
        <v>3</v>
      </c>
      <c r="E243" s="6">
        <f t="shared" si="18"/>
        <v>41699</v>
      </c>
      <c r="F243" s="1">
        <v>677.16665999999998</v>
      </c>
      <c r="G243" s="1">
        <v>14954.84</v>
      </c>
      <c r="H243" s="1">
        <v>2196383.02</v>
      </c>
      <c r="I243" s="1">
        <v>101501.18</v>
      </c>
      <c r="J243" s="7">
        <f t="shared" si="19"/>
        <v>530.02633059341701</v>
      </c>
      <c r="K243" s="1">
        <f t="shared" si="20"/>
        <v>530.02633059341701</v>
      </c>
      <c r="L243" s="13">
        <f t="shared" si="21"/>
        <v>0.8715837961833145</v>
      </c>
      <c r="M243" s="1">
        <v>0</v>
      </c>
      <c r="N243" s="1">
        <v>0</v>
      </c>
      <c r="O243" t="str">
        <f t="shared" si="22"/>
        <v>Producer</v>
      </c>
      <c r="P243" s="15">
        <f t="shared" si="23"/>
        <v>0.91017024193548379</v>
      </c>
    </row>
    <row r="244" spans="1:16" x14ac:dyDescent="0.35">
      <c r="A244" t="s">
        <v>4</v>
      </c>
      <c r="B244">
        <v>5351</v>
      </c>
      <c r="C244">
        <v>2014</v>
      </c>
      <c r="D244">
        <v>4</v>
      </c>
      <c r="E244" s="6">
        <f t="shared" si="18"/>
        <v>41730</v>
      </c>
      <c r="F244" s="1">
        <v>701.45833000000005</v>
      </c>
      <c r="G244" s="1">
        <v>16572.240000000002</v>
      </c>
      <c r="H244" s="1">
        <v>2398888.09</v>
      </c>
      <c r="I244" s="1">
        <v>104862.29</v>
      </c>
      <c r="J244" s="7">
        <f t="shared" si="19"/>
        <v>567.00981796024871</v>
      </c>
      <c r="K244" s="1">
        <f t="shared" si="20"/>
        <v>567.00981796024871</v>
      </c>
      <c r="L244" s="13">
        <f t="shared" si="21"/>
        <v>0.86352942610310257</v>
      </c>
      <c r="M244" s="1">
        <v>0</v>
      </c>
      <c r="N244" s="1">
        <v>0</v>
      </c>
      <c r="O244" t="str">
        <f t="shared" si="22"/>
        <v>Producer</v>
      </c>
      <c r="P244" s="15">
        <f t="shared" si="23"/>
        <v>0.97424768055555566</v>
      </c>
    </row>
    <row r="245" spans="1:16" x14ac:dyDescent="0.35">
      <c r="A245" t="s">
        <v>4</v>
      </c>
      <c r="B245">
        <v>5351</v>
      </c>
      <c r="C245">
        <v>2014</v>
      </c>
      <c r="D245">
        <v>5</v>
      </c>
      <c r="E245" s="6">
        <f t="shared" si="18"/>
        <v>41760</v>
      </c>
      <c r="F245" s="1">
        <v>701.5</v>
      </c>
      <c r="G245" s="1">
        <v>13637.02</v>
      </c>
      <c r="H245" s="1">
        <v>1943519.37</v>
      </c>
      <c r="I245" s="1">
        <v>98851.21</v>
      </c>
      <c r="J245" s="7">
        <f t="shared" si="19"/>
        <v>466.5552102637206</v>
      </c>
      <c r="K245" s="1">
        <f t="shared" si="20"/>
        <v>466.5552102637206</v>
      </c>
      <c r="L245" s="13">
        <f t="shared" si="21"/>
        <v>0.87876936102559344</v>
      </c>
      <c r="M245" s="1">
        <v>0</v>
      </c>
      <c r="N245" s="1">
        <v>0</v>
      </c>
      <c r="O245" t="str">
        <f t="shared" si="22"/>
        <v>Producer</v>
      </c>
      <c r="P245" s="15">
        <f t="shared" si="23"/>
        <v>0.9428763440860215</v>
      </c>
    </row>
    <row r="246" spans="1:16" x14ac:dyDescent="0.35">
      <c r="A246" t="s">
        <v>4</v>
      </c>
      <c r="B246">
        <v>5351</v>
      </c>
      <c r="C246">
        <v>2014</v>
      </c>
      <c r="D246">
        <v>6</v>
      </c>
      <c r="E246" s="6">
        <f t="shared" si="18"/>
        <v>41791</v>
      </c>
      <c r="F246" s="1">
        <v>710</v>
      </c>
      <c r="G246" s="1">
        <v>13257.99</v>
      </c>
      <c r="H246" s="1">
        <v>1951326.48</v>
      </c>
      <c r="I246" s="1">
        <v>103420.97</v>
      </c>
      <c r="J246" s="7">
        <f t="shared" si="19"/>
        <v>448.15740845070422</v>
      </c>
      <c r="K246" s="1">
        <f t="shared" si="20"/>
        <v>448.15740845070422</v>
      </c>
      <c r="L246" s="13">
        <f t="shared" si="21"/>
        <v>0.88637205885277004</v>
      </c>
      <c r="M246" s="1">
        <v>0</v>
      </c>
      <c r="N246" s="1">
        <v>0</v>
      </c>
      <c r="O246" t="str">
        <f t="shared" si="22"/>
        <v>Producer</v>
      </c>
      <c r="P246" s="15">
        <f t="shared" si="23"/>
        <v>0.98611111111111116</v>
      </c>
    </row>
    <row r="247" spans="1:16" x14ac:dyDescent="0.35">
      <c r="A247" t="s">
        <v>4</v>
      </c>
      <c r="B247">
        <v>5351</v>
      </c>
      <c r="C247">
        <v>2014</v>
      </c>
      <c r="D247">
        <v>7</v>
      </c>
      <c r="E247" s="6">
        <f t="shared" si="18"/>
        <v>41821</v>
      </c>
      <c r="F247" s="1">
        <v>743.08334000000002</v>
      </c>
      <c r="G247" s="1">
        <v>13495.98</v>
      </c>
      <c r="H247" s="1">
        <v>2012912.6399999999</v>
      </c>
      <c r="I247" s="1">
        <v>99765.119999999995</v>
      </c>
      <c r="J247" s="7">
        <f t="shared" si="19"/>
        <v>435.89124202407766</v>
      </c>
      <c r="K247" s="1">
        <f t="shared" si="20"/>
        <v>435.89124202407766</v>
      </c>
      <c r="L247" s="13">
        <f t="shared" si="21"/>
        <v>0.88084187774973055</v>
      </c>
      <c r="M247" s="1">
        <v>0</v>
      </c>
      <c r="N247" s="1">
        <v>0</v>
      </c>
      <c r="O247" t="str">
        <f t="shared" si="22"/>
        <v>Producer</v>
      </c>
      <c r="P247" s="15">
        <f t="shared" si="23"/>
        <v>0.99876793010752696</v>
      </c>
    </row>
    <row r="248" spans="1:16" x14ac:dyDescent="0.35">
      <c r="A248" t="s">
        <v>4</v>
      </c>
      <c r="B248">
        <v>5351</v>
      </c>
      <c r="C248">
        <v>2014</v>
      </c>
      <c r="D248">
        <v>8</v>
      </c>
      <c r="E248" s="6">
        <f t="shared" si="18"/>
        <v>41852</v>
      </c>
      <c r="F248" s="1">
        <v>599.78332999999998</v>
      </c>
      <c r="G248" s="1">
        <v>8443.73</v>
      </c>
      <c r="H248" s="1">
        <v>1333766.6399999999</v>
      </c>
      <c r="I248" s="1">
        <v>82815.839999999997</v>
      </c>
      <c r="J248" s="7">
        <f t="shared" si="19"/>
        <v>337.87121092545203</v>
      </c>
      <c r="K248" s="1">
        <f t="shared" si="20"/>
        <v>337.87121092545203</v>
      </c>
      <c r="L248" s="13">
        <f t="shared" si="21"/>
        <v>0.90747567624962511</v>
      </c>
      <c r="M248" s="1">
        <v>0</v>
      </c>
      <c r="N248" s="1">
        <v>0</v>
      </c>
      <c r="O248" t="str">
        <f t="shared" si="22"/>
        <v>Producer</v>
      </c>
      <c r="P248" s="15">
        <f t="shared" si="23"/>
        <v>0.8061603897849462</v>
      </c>
    </row>
    <row r="249" spans="1:16" x14ac:dyDescent="0.35">
      <c r="A249" t="s">
        <v>4</v>
      </c>
      <c r="B249">
        <v>5351</v>
      </c>
      <c r="C249">
        <v>2014</v>
      </c>
      <c r="D249">
        <v>9</v>
      </c>
      <c r="E249" s="6">
        <f t="shared" si="18"/>
        <v>41883</v>
      </c>
      <c r="F249" s="1">
        <v>689.66665999999998</v>
      </c>
      <c r="G249" s="1">
        <v>9622.2099999999991</v>
      </c>
      <c r="H249" s="1">
        <v>1516704.37</v>
      </c>
      <c r="I249" s="1">
        <v>97941.37</v>
      </c>
      <c r="J249" s="7">
        <f t="shared" si="19"/>
        <v>334.84733044801675</v>
      </c>
      <c r="K249" s="1">
        <f t="shared" si="20"/>
        <v>334.84733044801675</v>
      </c>
      <c r="L249" s="13">
        <f t="shared" si="21"/>
        <v>0.9105439778036396</v>
      </c>
      <c r="M249" s="1">
        <v>0</v>
      </c>
      <c r="N249" s="1">
        <v>0</v>
      </c>
      <c r="O249" t="str">
        <f t="shared" si="22"/>
        <v>Producer</v>
      </c>
      <c r="P249" s="15">
        <f t="shared" si="23"/>
        <v>0.95787036111111112</v>
      </c>
    </row>
    <row r="250" spans="1:16" x14ac:dyDescent="0.35">
      <c r="A250" t="s">
        <v>4</v>
      </c>
      <c r="B250">
        <v>5351</v>
      </c>
      <c r="C250">
        <v>2014</v>
      </c>
      <c r="D250">
        <v>10</v>
      </c>
      <c r="E250" s="6">
        <f t="shared" si="18"/>
        <v>41913</v>
      </c>
      <c r="F250" s="1">
        <v>745</v>
      </c>
      <c r="G250" s="1">
        <v>10076.219999999999</v>
      </c>
      <c r="H250" s="1">
        <v>1558794.24</v>
      </c>
      <c r="I250" s="1">
        <v>104963.4</v>
      </c>
      <c r="J250" s="7">
        <f t="shared" si="19"/>
        <v>324.60306040268455</v>
      </c>
      <c r="K250" s="1">
        <f t="shared" si="20"/>
        <v>324.60306040268455</v>
      </c>
      <c r="L250" s="13">
        <f t="shared" si="21"/>
        <v>0.91241087201087767</v>
      </c>
      <c r="M250" s="1">
        <v>0</v>
      </c>
      <c r="N250" s="1">
        <v>0</v>
      </c>
      <c r="O250" t="str">
        <f t="shared" si="22"/>
        <v>Producer</v>
      </c>
      <c r="P250" s="15">
        <f t="shared" si="23"/>
        <v>1.0013440860215055</v>
      </c>
    </row>
    <row r="251" spans="1:16" x14ac:dyDescent="0.35">
      <c r="A251" t="s">
        <v>4</v>
      </c>
      <c r="B251">
        <v>5351</v>
      </c>
      <c r="C251">
        <v>2014</v>
      </c>
      <c r="D251">
        <v>11</v>
      </c>
      <c r="E251" s="6">
        <f t="shared" si="18"/>
        <v>41944</v>
      </c>
      <c r="F251" s="1">
        <v>708.5</v>
      </c>
      <c r="G251" s="1">
        <v>10386.41</v>
      </c>
      <c r="H251" s="1">
        <v>1643092.74</v>
      </c>
      <c r="I251" s="1">
        <v>103384.87</v>
      </c>
      <c r="J251" s="7">
        <f t="shared" si="19"/>
        <v>351.83322512350037</v>
      </c>
      <c r="K251" s="1">
        <f t="shared" si="20"/>
        <v>351.83322512350037</v>
      </c>
      <c r="L251" s="13">
        <f t="shared" si="21"/>
        <v>0.90870797972915485</v>
      </c>
      <c r="M251" s="1">
        <v>0</v>
      </c>
      <c r="N251" s="1">
        <v>0</v>
      </c>
      <c r="O251" t="str">
        <f t="shared" si="22"/>
        <v>Producer</v>
      </c>
      <c r="P251" s="15">
        <f t="shared" si="23"/>
        <v>0.98402777777777772</v>
      </c>
    </row>
    <row r="252" spans="1:16" x14ac:dyDescent="0.35">
      <c r="A252" t="s">
        <v>4</v>
      </c>
      <c r="B252">
        <v>5351</v>
      </c>
      <c r="C252">
        <v>2014</v>
      </c>
      <c r="D252">
        <v>12</v>
      </c>
      <c r="E252" s="6">
        <f t="shared" si="18"/>
        <v>41974</v>
      </c>
      <c r="F252" s="1">
        <v>740.83334000000002</v>
      </c>
      <c r="G252" s="1">
        <v>9665.11</v>
      </c>
      <c r="H252" s="1">
        <v>1601950.3</v>
      </c>
      <c r="I252" s="1">
        <v>100254.94</v>
      </c>
      <c r="J252" s="7">
        <f t="shared" si="19"/>
        <v>313.11042237920884</v>
      </c>
      <c r="K252" s="1">
        <f t="shared" si="20"/>
        <v>313.11042237920884</v>
      </c>
      <c r="L252" s="13">
        <f t="shared" si="21"/>
        <v>0.91207145557157221</v>
      </c>
      <c r="M252" s="1">
        <v>0</v>
      </c>
      <c r="N252" s="1">
        <v>0</v>
      </c>
      <c r="O252" t="str">
        <f t="shared" si="22"/>
        <v>Producer</v>
      </c>
      <c r="P252" s="15">
        <f t="shared" si="23"/>
        <v>0.99574373655913984</v>
      </c>
    </row>
    <row r="253" spans="1:16" x14ac:dyDescent="0.35">
      <c r="A253" t="s">
        <v>4</v>
      </c>
      <c r="B253">
        <v>5351</v>
      </c>
      <c r="C253">
        <v>2015</v>
      </c>
      <c r="D253">
        <v>1</v>
      </c>
      <c r="E253" s="6">
        <f t="shared" si="18"/>
        <v>42005</v>
      </c>
      <c r="F253" s="1">
        <v>718.13333</v>
      </c>
      <c r="G253" s="1">
        <v>9120.98</v>
      </c>
      <c r="H253" s="1">
        <v>1357132.6</v>
      </c>
      <c r="I253" s="1">
        <v>95024.85</v>
      </c>
      <c r="J253" s="7">
        <f t="shared" si="19"/>
        <v>304.82294979958664</v>
      </c>
      <c r="K253" s="1">
        <f t="shared" si="20"/>
        <v>304.82294979958664</v>
      </c>
      <c r="L253" s="13">
        <f t="shared" si="21"/>
        <v>0.91242107341215684</v>
      </c>
      <c r="M253" s="1">
        <v>0</v>
      </c>
      <c r="N253" s="1">
        <v>0</v>
      </c>
      <c r="O253" t="str">
        <f t="shared" si="22"/>
        <v>Producer</v>
      </c>
      <c r="P253" s="15">
        <f t="shared" si="23"/>
        <v>0.96523297043010747</v>
      </c>
    </row>
    <row r="254" spans="1:16" x14ac:dyDescent="0.35">
      <c r="A254" t="s">
        <v>4</v>
      </c>
      <c r="B254">
        <v>5351</v>
      </c>
      <c r="C254">
        <v>2015</v>
      </c>
      <c r="D254">
        <v>2</v>
      </c>
      <c r="E254" s="6">
        <f t="shared" si="18"/>
        <v>42036</v>
      </c>
      <c r="F254" s="1">
        <v>655.05832999999996</v>
      </c>
      <c r="G254" s="1">
        <v>7178.8</v>
      </c>
      <c r="H254" s="1">
        <v>1092571.04</v>
      </c>
      <c r="I254" s="1">
        <v>91844.46</v>
      </c>
      <c r="J254" s="7">
        <f t="shared" si="19"/>
        <v>263.01657747028423</v>
      </c>
      <c r="K254" s="1">
        <f t="shared" si="20"/>
        <v>263.01657747028423</v>
      </c>
      <c r="L254" s="13">
        <f t="shared" si="21"/>
        <v>0.92750390160857155</v>
      </c>
      <c r="M254" s="1">
        <v>0</v>
      </c>
      <c r="N254" s="1">
        <v>0</v>
      </c>
      <c r="O254" t="str">
        <f t="shared" si="22"/>
        <v>Producer</v>
      </c>
      <c r="P254" s="15">
        <f t="shared" si="23"/>
        <v>0.97478918154761895</v>
      </c>
    </row>
    <row r="255" spans="1:16" x14ac:dyDescent="0.35">
      <c r="A255" t="s">
        <v>4</v>
      </c>
      <c r="B255">
        <v>5351</v>
      </c>
      <c r="C255">
        <v>2015</v>
      </c>
      <c r="D255">
        <v>3</v>
      </c>
      <c r="E255" s="6">
        <f t="shared" si="18"/>
        <v>42064</v>
      </c>
      <c r="F255" s="1">
        <v>744</v>
      </c>
      <c r="G255" s="1">
        <v>8069.04</v>
      </c>
      <c r="H255" s="1">
        <v>1195524.25</v>
      </c>
      <c r="I255" s="1">
        <v>107454.33</v>
      </c>
      <c r="J255" s="7">
        <f t="shared" si="19"/>
        <v>260.29161290322583</v>
      </c>
      <c r="K255" s="1">
        <f t="shared" si="20"/>
        <v>260.29161290322583</v>
      </c>
      <c r="L255" s="13">
        <f t="shared" si="21"/>
        <v>0.93015231463555825</v>
      </c>
      <c r="M255" s="1">
        <v>0</v>
      </c>
      <c r="N255" s="1">
        <v>0</v>
      </c>
      <c r="O255" t="str">
        <f t="shared" si="22"/>
        <v>Producer</v>
      </c>
      <c r="P255" s="15">
        <f t="shared" si="23"/>
        <v>1</v>
      </c>
    </row>
    <row r="256" spans="1:16" x14ac:dyDescent="0.35">
      <c r="A256" t="s">
        <v>4</v>
      </c>
      <c r="B256">
        <v>5351</v>
      </c>
      <c r="C256">
        <v>2015</v>
      </c>
      <c r="D256">
        <v>4</v>
      </c>
      <c r="E256" s="6">
        <f t="shared" si="18"/>
        <v>42095</v>
      </c>
      <c r="F256" s="1">
        <v>720</v>
      </c>
      <c r="G256" s="1">
        <v>7687.2</v>
      </c>
      <c r="H256" s="1">
        <v>1121236.5</v>
      </c>
      <c r="I256" s="1">
        <v>101303.06</v>
      </c>
      <c r="J256" s="7">
        <f t="shared" si="19"/>
        <v>256.24</v>
      </c>
      <c r="K256" s="1">
        <f t="shared" si="20"/>
        <v>256.24</v>
      </c>
      <c r="L256" s="13">
        <f t="shared" si="21"/>
        <v>0.92946892685639981</v>
      </c>
      <c r="M256" s="1">
        <v>0</v>
      </c>
      <c r="N256" s="1">
        <v>0</v>
      </c>
      <c r="O256" t="str">
        <f t="shared" si="22"/>
        <v>Producer</v>
      </c>
      <c r="P256" s="15">
        <f t="shared" si="23"/>
        <v>1</v>
      </c>
    </row>
    <row r="257" spans="1:16" x14ac:dyDescent="0.35">
      <c r="A257" t="s">
        <v>4</v>
      </c>
      <c r="B257">
        <v>5351</v>
      </c>
      <c r="C257">
        <v>2015</v>
      </c>
      <c r="D257">
        <v>5</v>
      </c>
      <c r="E257" s="6">
        <f t="shared" si="18"/>
        <v>42125</v>
      </c>
      <c r="F257" s="1">
        <v>744</v>
      </c>
      <c r="G257" s="1">
        <v>7147.79</v>
      </c>
      <c r="H257" s="1">
        <v>1042506.82</v>
      </c>
      <c r="I257" s="1">
        <v>102927.47</v>
      </c>
      <c r="J257" s="7">
        <f t="shared" si="19"/>
        <v>230.57387096774193</v>
      </c>
      <c r="K257" s="1">
        <f t="shared" si="20"/>
        <v>230.57387096774193</v>
      </c>
      <c r="L257" s="13">
        <f t="shared" si="21"/>
        <v>0.93506451858483008</v>
      </c>
      <c r="M257" s="1">
        <v>0</v>
      </c>
      <c r="N257" s="1">
        <v>0</v>
      </c>
      <c r="O257" t="str">
        <f t="shared" si="22"/>
        <v>Producer</v>
      </c>
      <c r="P257" s="15">
        <f t="shared" si="23"/>
        <v>1</v>
      </c>
    </row>
    <row r="258" spans="1:16" x14ac:dyDescent="0.35">
      <c r="A258" t="s">
        <v>4</v>
      </c>
      <c r="B258">
        <v>5351</v>
      </c>
      <c r="C258">
        <v>2015</v>
      </c>
      <c r="D258">
        <v>6</v>
      </c>
      <c r="E258" s="6">
        <f t="shared" si="18"/>
        <v>42156</v>
      </c>
      <c r="F258" s="1">
        <v>718.81667000000004</v>
      </c>
      <c r="G258" s="1">
        <v>6069.93</v>
      </c>
      <c r="H258" s="1">
        <v>889055.86</v>
      </c>
      <c r="I258" s="1">
        <v>100367.07</v>
      </c>
      <c r="J258" s="7">
        <f t="shared" si="19"/>
        <v>202.66408123228416</v>
      </c>
      <c r="K258" s="1">
        <f t="shared" si="20"/>
        <v>202.66408123228416</v>
      </c>
      <c r="L258" s="13">
        <f t="shared" si="21"/>
        <v>0.9429716170128809</v>
      </c>
      <c r="M258" s="1">
        <v>0</v>
      </c>
      <c r="N258" s="1">
        <v>0</v>
      </c>
      <c r="O258" t="str">
        <f t="shared" si="22"/>
        <v>Producer</v>
      </c>
      <c r="P258" s="15">
        <f t="shared" si="23"/>
        <v>0.99835648611111116</v>
      </c>
    </row>
    <row r="259" spans="1:16" x14ac:dyDescent="0.35">
      <c r="A259" t="s">
        <v>4</v>
      </c>
      <c r="B259">
        <v>5351</v>
      </c>
      <c r="C259">
        <v>2015</v>
      </c>
      <c r="D259">
        <v>7</v>
      </c>
      <c r="E259" s="6">
        <f t="shared" ref="E259:E322" si="24">DATE(C259, D259, 1)</f>
        <v>42186</v>
      </c>
      <c r="F259" s="1">
        <v>741.04193999999995</v>
      </c>
      <c r="G259" s="1">
        <v>6720.74</v>
      </c>
      <c r="H259" s="1">
        <v>999142.24</v>
      </c>
      <c r="I259" s="1">
        <v>96224.54</v>
      </c>
      <c r="J259" s="7">
        <f t="shared" ref="J259:J322" si="25">IF(F259&gt;0,G259/(F259/24),"")</f>
        <v>217.66346989753376</v>
      </c>
      <c r="K259" s="1">
        <f t="shared" ref="K259:K322" si="26">+J259</f>
        <v>217.66346989753376</v>
      </c>
      <c r="L259" s="13">
        <f t="shared" ref="L259:L322" si="27">+IF((G259+I259)&gt;0,I259/(G259+I259),"")</f>
        <v>0.93471541385870238</v>
      </c>
      <c r="M259" s="1">
        <v>0</v>
      </c>
      <c r="N259" s="1">
        <v>0</v>
      </c>
      <c r="O259" t="str">
        <f t="shared" ref="O259:O322" si="28">IF(F259&gt;0,IF(N(N259)&gt;0,"Injector",IF(N(G259)&gt;0,"Producer","Inactive")),"No production")</f>
        <v>Producer</v>
      </c>
      <c r="P259" s="15">
        <f t="shared" ref="P259:P322" si="29">+IF(F259&gt;0,F259/(DAY(EOMONTH(E259,0))*24),"")</f>
        <v>0.99602411290322579</v>
      </c>
    </row>
    <row r="260" spans="1:16" x14ac:dyDescent="0.35">
      <c r="A260" t="s">
        <v>4</v>
      </c>
      <c r="B260">
        <v>5351</v>
      </c>
      <c r="C260">
        <v>2015</v>
      </c>
      <c r="D260">
        <v>8</v>
      </c>
      <c r="E260" s="6">
        <f t="shared" si="24"/>
        <v>42217</v>
      </c>
      <c r="F260" s="1">
        <v>629.39180999999996</v>
      </c>
      <c r="G260" s="1">
        <v>4876.3100000000004</v>
      </c>
      <c r="H260" s="1">
        <v>737504.53</v>
      </c>
      <c r="I260" s="1">
        <v>79596.639999999999</v>
      </c>
      <c r="J260" s="7">
        <f t="shared" si="25"/>
        <v>185.94369697946976</v>
      </c>
      <c r="K260" s="1">
        <f t="shared" si="26"/>
        <v>185.94369697946976</v>
      </c>
      <c r="L260" s="13">
        <f t="shared" si="27"/>
        <v>0.94227371010483241</v>
      </c>
      <c r="M260" s="1">
        <v>0</v>
      </c>
      <c r="N260" s="1">
        <v>0</v>
      </c>
      <c r="O260" t="str">
        <f t="shared" si="28"/>
        <v>Producer</v>
      </c>
      <c r="P260" s="15">
        <f t="shared" si="29"/>
        <v>0.8459567338709677</v>
      </c>
    </row>
    <row r="261" spans="1:16" x14ac:dyDescent="0.35">
      <c r="A261" t="s">
        <v>4</v>
      </c>
      <c r="B261">
        <v>5351</v>
      </c>
      <c r="C261">
        <v>2015</v>
      </c>
      <c r="D261">
        <v>9</v>
      </c>
      <c r="E261" s="6">
        <f t="shared" si="24"/>
        <v>42248</v>
      </c>
      <c r="F261" s="1">
        <v>719.07485999999994</v>
      </c>
      <c r="G261" s="1">
        <v>5300.41</v>
      </c>
      <c r="H261" s="1">
        <v>799234.86</v>
      </c>
      <c r="I261" s="1">
        <v>84511.31</v>
      </c>
      <c r="J261" s="7">
        <f t="shared" si="25"/>
        <v>176.90764491474505</v>
      </c>
      <c r="K261" s="1">
        <f t="shared" si="26"/>
        <v>176.90764491474505</v>
      </c>
      <c r="L261" s="13">
        <f t="shared" si="27"/>
        <v>0.94098309218440535</v>
      </c>
      <c r="M261" s="1">
        <v>0</v>
      </c>
      <c r="N261" s="1">
        <v>0</v>
      </c>
      <c r="O261" t="str">
        <f t="shared" si="28"/>
        <v>Producer</v>
      </c>
      <c r="P261" s="15">
        <f t="shared" si="29"/>
        <v>0.99871508333333325</v>
      </c>
    </row>
    <row r="262" spans="1:16" x14ac:dyDescent="0.35">
      <c r="A262" t="s">
        <v>4</v>
      </c>
      <c r="B262">
        <v>5351</v>
      </c>
      <c r="C262">
        <v>2015</v>
      </c>
      <c r="D262">
        <v>10</v>
      </c>
      <c r="E262" s="6">
        <f t="shared" si="24"/>
        <v>42278</v>
      </c>
      <c r="F262" s="1">
        <v>741.91666999999995</v>
      </c>
      <c r="G262" s="1">
        <v>5634.86</v>
      </c>
      <c r="H262" s="1">
        <v>863230.28</v>
      </c>
      <c r="I262" s="1">
        <v>97864.97</v>
      </c>
      <c r="J262" s="7">
        <f t="shared" si="25"/>
        <v>182.2800935312587</v>
      </c>
      <c r="K262" s="1">
        <f t="shared" si="26"/>
        <v>182.2800935312587</v>
      </c>
      <c r="L262" s="13">
        <f t="shared" si="27"/>
        <v>0.94555681878897768</v>
      </c>
      <c r="M262" s="1">
        <v>0</v>
      </c>
      <c r="N262" s="1">
        <v>0</v>
      </c>
      <c r="O262" t="str">
        <f t="shared" si="28"/>
        <v>Producer</v>
      </c>
      <c r="P262" s="15">
        <f t="shared" si="29"/>
        <v>0.99719982526881712</v>
      </c>
    </row>
    <row r="263" spans="1:16" x14ac:dyDescent="0.35">
      <c r="A263" t="s">
        <v>4</v>
      </c>
      <c r="B263">
        <v>5351</v>
      </c>
      <c r="C263">
        <v>2015</v>
      </c>
      <c r="D263">
        <v>11</v>
      </c>
      <c r="E263" s="6">
        <f t="shared" si="24"/>
        <v>42309</v>
      </c>
      <c r="F263" s="1">
        <v>719.50000999999997</v>
      </c>
      <c r="G263" s="1">
        <v>5431.56</v>
      </c>
      <c r="H263" s="1">
        <v>835108.42</v>
      </c>
      <c r="I263" s="1">
        <v>96061.08</v>
      </c>
      <c r="J263" s="7">
        <f t="shared" si="25"/>
        <v>181.17781541101022</v>
      </c>
      <c r="K263" s="1">
        <f t="shared" si="26"/>
        <v>181.17781541101022</v>
      </c>
      <c r="L263" s="13">
        <f t="shared" si="27"/>
        <v>0.94648321296992577</v>
      </c>
      <c r="M263" s="1">
        <v>0</v>
      </c>
      <c r="N263" s="1">
        <v>0</v>
      </c>
      <c r="O263" t="str">
        <f t="shared" si="28"/>
        <v>Producer</v>
      </c>
      <c r="P263" s="15">
        <f t="shared" si="29"/>
        <v>0.99930556944444437</v>
      </c>
    </row>
    <row r="264" spans="1:16" x14ac:dyDescent="0.35">
      <c r="A264" t="s">
        <v>4</v>
      </c>
      <c r="B264">
        <v>5351</v>
      </c>
      <c r="C264">
        <v>2015</v>
      </c>
      <c r="D264">
        <v>12</v>
      </c>
      <c r="E264" s="6">
        <f t="shared" si="24"/>
        <v>42339</v>
      </c>
      <c r="F264" s="1">
        <v>740.5</v>
      </c>
      <c r="G264" s="1">
        <v>5158.09</v>
      </c>
      <c r="H264" s="1">
        <v>790131.36</v>
      </c>
      <c r="I264" s="1">
        <v>94593.75</v>
      </c>
      <c r="J264" s="7">
        <f t="shared" si="25"/>
        <v>167.17644834571234</v>
      </c>
      <c r="K264" s="1">
        <f t="shared" si="26"/>
        <v>167.17644834571234</v>
      </c>
      <c r="L264" s="13">
        <f t="shared" si="27"/>
        <v>0.94829077839566667</v>
      </c>
      <c r="M264" s="1">
        <v>0</v>
      </c>
      <c r="N264" s="1">
        <v>0</v>
      </c>
      <c r="O264" t="str">
        <f t="shared" si="28"/>
        <v>Producer</v>
      </c>
      <c r="P264" s="15">
        <f t="shared" si="29"/>
        <v>0.99529569892473113</v>
      </c>
    </row>
    <row r="265" spans="1:16" x14ac:dyDescent="0.35">
      <c r="A265" t="s">
        <v>4</v>
      </c>
      <c r="B265">
        <v>5351</v>
      </c>
      <c r="C265">
        <v>2016</v>
      </c>
      <c r="D265">
        <v>1</v>
      </c>
      <c r="E265" s="6">
        <f t="shared" si="24"/>
        <v>42370</v>
      </c>
      <c r="F265" s="1">
        <v>736.33331999999996</v>
      </c>
      <c r="G265" s="1">
        <v>4606.3</v>
      </c>
      <c r="H265" s="1">
        <v>721123.87</v>
      </c>
      <c r="I265" s="1">
        <v>97147.72</v>
      </c>
      <c r="J265" s="7">
        <f t="shared" si="25"/>
        <v>150.13744047329001</v>
      </c>
      <c r="K265" s="1">
        <f t="shared" si="26"/>
        <v>150.13744047329001</v>
      </c>
      <c r="L265" s="13">
        <f t="shared" si="27"/>
        <v>0.95473102684296896</v>
      </c>
      <c r="M265" s="1">
        <v>0</v>
      </c>
      <c r="N265" s="1">
        <v>0</v>
      </c>
      <c r="O265" t="str">
        <f t="shared" si="28"/>
        <v>Producer</v>
      </c>
      <c r="P265" s="15">
        <f t="shared" si="29"/>
        <v>0.98969532258064508</v>
      </c>
    </row>
    <row r="266" spans="1:16" x14ac:dyDescent="0.35">
      <c r="A266" t="s">
        <v>4</v>
      </c>
      <c r="B266">
        <v>5351</v>
      </c>
      <c r="C266">
        <v>2016</v>
      </c>
      <c r="D266">
        <v>2</v>
      </c>
      <c r="E266" s="6">
        <f t="shared" si="24"/>
        <v>42401</v>
      </c>
      <c r="F266" s="1">
        <v>695.58333000000005</v>
      </c>
      <c r="G266" s="1">
        <v>3941.77</v>
      </c>
      <c r="H266" s="1">
        <v>621658.73</v>
      </c>
      <c r="I266" s="1">
        <v>86357.85</v>
      </c>
      <c r="J266" s="7">
        <f t="shared" si="25"/>
        <v>136.00452443275199</v>
      </c>
      <c r="K266" s="1">
        <f t="shared" si="26"/>
        <v>136.00452443275199</v>
      </c>
      <c r="L266" s="13">
        <f t="shared" si="27"/>
        <v>0.95634787831886769</v>
      </c>
      <c r="M266" s="1">
        <v>0</v>
      </c>
      <c r="N266" s="1">
        <v>0</v>
      </c>
      <c r="O266" t="str">
        <f t="shared" si="28"/>
        <v>Producer</v>
      </c>
      <c r="P266" s="15">
        <f t="shared" si="29"/>
        <v>0.99940133620689664</v>
      </c>
    </row>
    <row r="267" spans="1:16" x14ac:dyDescent="0.35">
      <c r="A267" t="s">
        <v>4</v>
      </c>
      <c r="B267">
        <v>5351</v>
      </c>
      <c r="C267">
        <v>2016</v>
      </c>
      <c r="D267">
        <v>3</v>
      </c>
      <c r="E267" s="6">
        <f t="shared" si="24"/>
        <v>42430</v>
      </c>
      <c r="F267" s="1">
        <v>737.66665999999998</v>
      </c>
      <c r="G267" s="1">
        <v>3753.8</v>
      </c>
      <c r="H267" s="1">
        <v>604911.16</v>
      </c>
      <c r="I267" s="1">
        <v>98119.24</v>
      </c>
      <c r="J267" s="7">
        <f t="shared" si="25"/>
        <v>122.12996043497481</v>
      </c>
      <c r="K267" s="1">
        <f t="shared" si="26"/>
        <v>122.12996043497481</v>
      </c>
      <c r="L267" s="13">
        <f t="shared" si="27"/>
        <v>0.96315217451054758</v>
      </c>
      <c r="M267" s="1">
        <v>0</v>
      </c>
      <c r="N267" s="1">
        <v>0</v>
      </c>
      <c r="O267" t="str">
        <f t="shared" si="28"/>
        <v>Producer</v>
      </c>
      <c r="P267" s="15">
        <f t="shared" si="29"/>
        <v>0.99148744623655916</v>
      </c>
    </row>
    <row r="268" spans="1:16" x14ac:dyDescent="0.35">
      <c r="A268" t="s">
        <v>4</v>
      </c>
      <c r="B268">
        <v>5351</v>
      </c>
      <c r="C268">
        <v>2016</v>
      </c>
      <c r="D268">
        <v>4</v>
      </c>
      <c r="E268" s="6">
        <f t="shared" si="24"/>
        <v>42461</v>
      </c>
      <c r="F268" s="1">
        <v>715.83333000000005</v>
      </c>
      <c r="G268" s="1">
        <v>3112.41</v>
      </c>
      <c r="H268" s="1">
        <v>514414.42</v>
      </c>
      <c r="I268" s="1">
        <v>91934.95</v>
      </c>
      <c r="J268" s="7">
        <f t="shared" si="25"/>
        <v>104.3508829073382</v>
      </c>
      <c r="K268" s="1">
        <f t="shared" si="26"/>
        <v>104.3508829073382</v>
      </c>
      <c r="L268" s="13">
        <f t="shared" si="27"/>
        <v>0.96725411415950946</v>
      </c>
      <c r="M268" s="1">
        <v>0</v>
      </c>
      <c r="N268" s="1">
        <v>0</v>
      </c>
      <c r="O268" t="str">
        <f t="shared" si="28"/>
        <v>Producer</v>
      </c>
      <c r="P268" s="15">
        <f t="shared" si="29"/>
        <v>0.99421295833333345</v>
      </c>
    </row>
    <row r="269" spans="1:16" x14ac:dyDescent="0.35">
      <c r="A269" t="s">
        <v>4</v>
      </c>
      <c r="B269">
        <v>5351</v>
      </c>
      <c r="C269">
        <v>2016</v>
      </c>
      <c r="D269">
        <v>5</v>
      </c>
      <c r="E269" s="6">
        <f t="shared" si="24"/>
        <v>42491</v>
      </c>
      <c r="F269" s="1">
        <v>738</v>
      </c>
      <c r="G269" s="1">
        <v>3212.96</v>
      </c>
      <c r="H269" s="1">
        <v>506857.03</v>
      </c>
      <c r="I269" s="1">
        <v>89415.55</v>
      </c>
      <c r="J269" s="7">
        <f t="shared" si="25"/>
        <v>104.48650406504065</v>
      </c>
      <c r="K269" s="1">
        <f t="shared" si="26"/>
        <v>104.48650406504065</v>
      </c>
      <c r="L269" s="13">
        <f t="shared" si="27"/>
        <v>0.96531348717581655</v>
      </c>
      <c r="M269" s="1">
        <v>0</v>
      </c>
      <c r="N269" s="1">
        <v>0</v>
      </c>
      <c r="O269" t="str">
        <f t="shared" si="28"/>
        <v>Producer</v>
      </c>
      <c r="P269" s="15">
        <f t="shared" si="29"/>
        <v>0.99193548387096775</v>
      </c>
    </row>
    <row r="270" spans="1:16" x14ac:dyDescent="0.35">
      <c r="A270" t="s">
        <v>4</v>
      </c>
      <c r="B270">
        <v>5351</v>
      </c>
      <c r="C270">
        <v>2016</v>
      </c>
      <c r="D270">
        <v>6</v>
      </c>
      <c r="E270" s="6">
        <f t="shared" si="24"/>
        <v>42522</v>
      </c>
      <c r="F270" s="1">
        <v>716.08333000000005</v>
      </c>
      <c r="G270" s="1">
        <v>3075.03</v>
      </c>
      <c r="H270" s="1">
        <v>495103.7</v>
      </c>
      <c r="I270" s="1">
        <v>88380.72</v>
      </c>
      <c r="J270" s="7">
        <f t="shared" si="25"/>
        <v>103.0616366952712</v>
      </c>
      <c r="K270" s="1">
        <f t="shared" si="26"/>
        <v>103.0616366952712</v>
      </c>
      <c r="L270" s="13">
        <f t="shared" si="27"/>
        <v>0.96637685438039711</v>
      </c>
      <c r="M270" s="1">
        <v>0</v>
      </c>
      <c r="N270" s="1">
        <v>0</v>
      </c>
      <c r="O270" t="str">
        <f t="shared" si="28"/>
        <v>Producer</v>
      </c>
      <c r="P270" s="15">
        <f t="shared" si="29"/>
        <v>0.99456018055555562</v>
      </c>
    </row>
    <row r="271" spans="1:16" x14ac:dyDescent="0.35">
      <c r="A271" t="s">
        <v>4</v>
      </c>
      <c r="B271">
        <v>5351</v>
      </c>
      <c r="C271">
        <v>2016</v>
      </c>
      <c r="D271">
        <v>7</v>
      </c>
      <c r="E271" s="6">
        <f t="shared" si="24"/>
        <v>42552</v>
      </c>
      <c r="F271" s="1">
        <v>301.22500000000002</v>
      </c>
      <c r="G271" s="1">
        <v>1326.86</v>
      </c>
      <c r="H271" s="1">
        <v>215288.52</v>
      </c>
      <c r="I271" s="1">
        <v>37892.519999999997</v>
      </c>
      <c r="J271" s="7">
        <f t="shared" si="25"/>
        <v>105.71712175284254</v>
      </c>
      <c r="K271" s="1">
        <f t="shared" si="26"/>
        <v>105.71712175284254</v>
      </c>
      <c r="L271" s="13">
        <f t="shared" si="27"/>
        <v>0.96616825661190975</v>
      </c>
      <c r="M271" s="1">
        <v>0</v>
      </c>
      <c r="N271" s="1">
        <v>0</v>
      </c>
      <c r="O271" t="str">
        <f t="shared" si="28"/>
        <v>Producer</v>
      </c>
      <c r="P271" s="15">
        <f t="shared" si="29"/>
        <v>0.40487231182795702</v>
      </c>
    </row>
    <row r="272" spans="1:16" x14ac:dyDescent="0.35">
      <c r="A272" t="s">
        <v>4</v>
      </c>
      <c r="B272">
        <v>5351</v>
      </c>
      <c r="C272">
        <v>2016</v>
      </c>
      <c r="D272">
        <v>8</v>
      </c>
      <c r="E272" s="6">
        <f t="shared" si="24"/>
        <v>42583</v>
      </c>
      <c r="F272" s="1">
        <v>0</v>
      </c>
      <c r="G272" s="1">
        <v>0</v>
      </c>
      <c r="H272" s="1">
        <v>0</v>
      </c>
      <c r="I272" s="1">
        <v>0</v>
      </c>
      <c r="J272" s="7" t="str">
        <f t="shared" si="25"/>
        <v/>
      </c>
      <c r="K272" s="1" t="str">
        <f t="shared" si="26"/>
        <v/>
      </c>
      <c r="L272" s="13" t="str">
        <f t="shared" si="27"/>
        <v/>
      </c>
      <c r="M272" s="1">
        <v>0</v>
      </c>
      <c r="N272" s="1">
        <v>0</v>
      </c>
      <c r="O272" t="str">
        <f t="shared" si="28"/>
        <v>No production</v>
      </c>
      <c r="P272" s="15" t="str">
        <f t="shared" si="29"/>
        <v/>
      </c>
    </row>
    <row r="273" spans="1:16" x14ac:dyDescent="0.35">
      <c r="A273" t="s">
        <v>4</v>
      </c>
      <c r="B273">
        <v>5351</v>
      </c>
      <c r="C273">
        <v>2016</v>
      </c>
      <c r="D273">
        <v>9</v>
      </c>
      <c r="E273" s="6">
        <f t="shared" si="24"/>
        <v>42614</v>
      </c>
      <c r="F273" s="1">
        <v>0</v>
      </c>
      <c r="G273" s="1">
        <v>0</v>
      </c>
      <c r="H273" s="1">
        <v>0</v>
      </c>
      <c r="I273" s="1">
        <v>0</v>
      </c>
      <c r="J273" s="7" t="str">
        <f t="shared" si="25"/>
        <v/>
      </c>
      <c r="K273" s="1" t="str">
        <f t="shared" si="26"/>
        <v/>
      </c>
      <c r="L273" s="13" t="str">
        <f t="shared" si="27"/>
        <v/>
      </c>
      <c r="M273" s="1">
        <v>0</v>
      </c>
      <c r="N273" s="1">
        <v>0</v>
      </c>
      <c r="O273" t="str">
        <f t="shared" si="28"/>
        <v>No production</v>
      </c>
      <c r="P273" s="15" t="str">
        <f t="shared" si="29"/>
        <v/>
      </c>
    </row>
    <row r="274" spans="1:16" x14ac:dyDescent="0.35">
      <c r="A274" t="s">
        <v>5</v>
      </c>
      <c r="B274">
        <v>7289</v>
      </c>
      <c r="C274">
        <v>2014</v>
      </c>
      <c r="D274">
        <v>1</v>
      </c>
      <c r="E274" s="6">
        <f t="shared" si="24"/>
        <v>41640</v>
      </c>
      <c r="F274" s="1">
        <v>339.91667000000001</v>
      </c>
      <c r="G274" s="1">
        <v>5674.63</v>
      </c>
      <c r="H274" s="1">
        <v>820968.95999999996</v>
      </c>
      <c r="I274" s="1">
        <v>0</v>
      </c>
      <c r="J274" s="7">
        <f t="shared" si="25"/>
        <v>400.6603147765598</v>
      </c>
      <c r="K274" s="1">
        <f t="shared" si="26"/>
        <v>400.6603147765598</v>
      </c>
      <c r="L274" s="13">
        <f t="shared" si="27"/>
        <v>0</v>
      </c>
      <c r="M274" s="1">
        <v>0</v>
      </c>
      <c r="N274" s="1">
        <v>0</v>
      </c>
      <c r="O274" t="str">
        <f t="shared" si="28"/>
        <v>Producer</v>
      </c>
      <c r="P274" s="15">
        <f t="shared" si="29"/>
        <v>0.45687724462365592</v>
      </c>
    </row>
    <row r="275" spans="1:16" x14ac:dyDescent="0.35">
      <c r="A275" t="s">
        <v>5</v>
      </c>
      <c r="B275">
        <v>7289</v>
      </c>
      <c r="C275">
        <v>2014</v>
      </c>
      <c r="D275">
        <v>2</v>
      </c>
      <c r="E275" s="6">
        <f t="shared" si="24"/>
        <v>41671</v>
      </c>
      <c r="F275" s="1">
        <v>595.65000999999995</v>
      </c>
      <c r="G275" s="1">
        <v>7898.6</v>
      </c>
      <c r="H275" s="1">
        <v>1196183.8899999999</v>
      </c>
      <c r="I275" s="1">
        <v>0</v>
      </c>
      <c r="J275" s="7">
        <f t="shared" si="25"/>
        <v>318.25131674219233</v>
      </c>
      <c r="K275" s="1">
        <f t="shared" si="26"/>
        <v>318.25131674219233</v>
      </c>
      <c r="L275" s="13">
        <f t="shared" si="27"/>
        <v>0</v>
      </c>
      <c r="M275" s="1">
        <v>0</v>
      </c>
      <c r="N275" s="1">
        <v>0</v>
      </c>
      <c r="O275" t="str">
        <f t="shared" si="28"/>
        <v>Producer</v>
      </c>
      <c r="P275" s="15">
        <f t="shared" si="29"/>
        <v>0.88638394345238092</v>
      </c>
    </row>
    <row r="276" spans="1:16" x14ac:dyDescent="0.35">
      <c r="A276" t="s">
        <v>5</v>
      </c>
      <c r="B276">
        <v>7289</v>
      </c>
      <c r="C276">
        <v>2014</v>
      </c>
      <c r="D276">
        <v>3</v>
      </c>
      <c r="E276" s="6">
        <f t="shared" si="24"/>
        <v>41699</v>
      </c>
      <c r="F276" s="1">
        <v>670.75</v>
      </c>
      <c r="G276" s="1">
        <v>7081.47</v>
      </c>
      <c r="H276" s="1">
        <v>1076363.95</v>
      </c>
      <c r="I276" s="1">
        <v>0</v>
      </c>
      <c r="J276" s="7">
        <f t="shared" si="25"/>
        <v>253.38096161013792</v>
      </c>
      <c r="K276" s="1">
        <f t="shared" si="26"/>
        <v>253.38096161013792</v>
      </c>
      <c r="L276" s="13">
        <f t="shared" si="27"/>
        <v>0</v>
      </c>
      <c r="M276" s="1">
        <v>0</v>
      </c>
      <c r="N276" s="1">
        <v>0</v>
      </c>
      <c r="O276" t="str">
        <f t="shared" si="28"/>
        <v>Producer</v>
      </c>
      <c r="P276" s="15">
        <f t="shared" si="29"/>
        <v>0.90154569892473113</v>
      </c>
    </row>
    <row r="277" spans="1:16" x14ac:dyDescent="0.35">
      <c r="A277" t="s">
        <v>5</v>
      </c>
      <c r="B277">
        <v>7289</v>
      </c>
      <c r="C277">
        <v>2014</v>
      </c>
      <c r="D277">
        <v>4</v>
      </c>
      <c r="E277" s="6">
        <f t="shared" si="24"/>
        <v>41730</v>
      </c>
      <c r="F277" s="1">
        <v>700.875</v>
      </c>
      <c r="G277" s="1">
        <v>7163.3</v>
      </c>
      <c r="H277" s="1">
        <v>1074270.33</v>
      </c>
      <c r="I277" s="1">
        <v>0</v>
      </c>
      <c r="J277" s="7">
        <f t="shared" si="25"/>
        <v>245.29224184055644</v>
      </c>
      <c r="K277" s="1">
        <f t="shared" si="26"/>
        <v>245.29224184055644</v>
      </c>
      <c r="L277" s="13">
        <f t="shared" si="27"/>
        <v>0</v>
      </c>
      <c r="M277" s="1">
        <v>0</v>
      </c>
      <c r="N277" s="1">
        <v>0</v>
      </c>
      <c r="O277" t="str">
        <f t="shared" si="28"/>
        <v>Producer</v>
      </c>
      <c r="P277" s="15">
        <f t="shared" si="29"/>
        <v>0.97343749999999996</v>
      </c>
    </row>
    <row r="278" spans="1:16" x14ac:dyDescent="0.35">
      <c r="A278" t="s">
        <v>5</v>
      </c>
      <c r="B278">
        <v>7289</v>
      </c>
      <c r="C278">
        <v>2014</v>
      </c>
      <c r="D278">
        <v>5</v>
      </c>
      <c r="E278" s="6">
        <f t="shared" si="24"/>
        <v>41760</v>
      </c>
      <c r="F278" s="1">
        <v>744</v>
      </c>
      <c r="G278" s="1">
        <v>7218.61</v>
      </c>
      <c r="H278" s="1">
        <v>1014000.02</v>
      </c>
      <c r="I278" s="1">
        <v>0</v>
      </c>
      <c r="J278" s="7">
        <f t="shared" si="25"/>
        <v>232.85838709677418</v>
      </c>
      <c r="K278" s="1">
        <f t="shared" si="26"/>
        <v>232.85838709677418</v>
      </c>
      <c r="L278" s="13">
        <f t="shared" si="27"/>
        <v>0</v>
      </c>
      <c r="M278" s="1">
        <v>0</v>
      </c>
      <c r="N278" s="1">
        <v>0</v>
      </c>
      <c r="O278" t="str">
        <f t="shared" si="28"/>
        <v>Producer</v>
      </c>
      <c r="P278" s="15">
        <f t="shared" si="29"/>
        <v>1</v>
      </c>
    </row>
    <row r="279" spans="1:16" x14ac:dyDescent="0.35">
      <c r="A279" t="s">
        <v>5</v>
      </c>
      <c r="B279">
        <v>7289</v>
      </c>
      <c r="C279">
        <v>2014</v>
      </c>
      <c r="D279">
        <v>6</v>
      </c>
      <c r="E279" s="6">
        <f t="shared" si="24"/>
        <v>41791</v>
      </c>
      <c r="F279" s="1">
        <v>709.33334000000002</v>
      </c>
      <c r="G279" s="1">
        <v>7012.55</v>
      </c>
      <c r="H279" s="1">
        <v>1032224.48</v>
      </c>
      <c r="I279" s="1">
        <v>0</v>
      </c>
      <c r="J279" s="7">
        <f t="shared" si="25"/>
        <v>237.26672709335784</v>
      </c>
      <c r="K279" s="1">
        <f t="shared" si="26"/>
        <v>237.26672709335784</v>
      </c>
      <c r="L279" s="13">
        <f t="shared" si="27"/>
        <v>0</v>
      </c>
      <c r="M279" s="1">
        <v>0</v>
      </c>
      <c r="N279" s="1">
        <v>0</v>
      </c>
      <c r="O279" t="str">
        <f t="shared" si="28"/>
        <v>Producer</v>
      </c>
      <c r="P279" s="15">
        <f t="shared" si="29"/>
        <v>0.98518519444444452</v>
      </c>
    </row>
    <row r="280" spans="1:16" x14ac:dyDescent="0.35">
      <c r="A280" t="s">
        <v>5</v>
      </c>
      <c r="B280">
        <v>7289</v>
      </c>
      <c r="C280">
        <v>2014</v>
      </c>
      <c r="D280">
        <v>7</v>
      </c>
      <c r="E280" s="6">
        <f t="shared" si="24"/>
        <v>41821</v>
      </c>
      <c r="F280" s="1">
        <v>732.66638999999998</v>
      </c>
      <c r="G280" s="1">
        <v>6847.42</v>
      </c>
      <c r="H280" s="1">
        <v>1021004.31</v>
      </c>
      <c r="I280" s="1">
        <v>0</v>
      </c>
      <c r="J280" s="7">
        <f t="shared" si="25"/>
        <v>224.30137678350442</v>
      </c>
      <c r="K280" s="1">
        <f t="shared" si="26"/>
        <v>224.30137678350442</v>
      </c>
      <c r="L280" s="13">
        <f t="shared" si="27"/>
        <v>0</v>
      </c>
      <c r="M280" s="1">
        <v>0</v>
      </c>
      <c r="N280" s="1">
        <v>0</v>
      </c>
      <c r="O280" t="str">
        <f t="shared" si="28"/>
        <v>Producer</v>
      </c>
      <c r="P280" s="15">
        <f t="shared" si="29"/>
        <v>0.98476665322580648</v>
      </c>
    </row>
    <row r="281" spans="1:16" x14ac:dyDescent="0.35">
      <c r="A281" t="s">
        <v>5</v>
      </c>
      <c r="B281">
        <v>7289</v>
      </c>
      <c r="C281">
        <v>2014</v>
      </c>
      <c r="D281">
        <v>8</v>
      </c>
      <c r="E281" s="6">
        <f t="shared" si="24"/>
        <v>41852</v>
      </c>
      <c r="F281" s="1">
        <v>433.32499999999999</v>
      </c>
      <c r="G281" s="1">
        <v>3475.39</v>
      </c>
      <c r="H281" s="1">
        <v>526611.06999999995</v>
      </c>
      <c r="I281" s="1">
        <v>0</v>
      </c>
      <c r="J281" s="7">
        <f t="shared" si="25"/>
        <v>192.48684013154099</v>
      </c>
      <c r="K281" s="1">
        <f t="shared" si="26"/>
        <v>192.48684013154099</v>
      </c>
      <c r="L281" s="13">
        <f t="shared" si="27"/>
        <v>0</v>
      </c>
      <c r="M281" s="1">
        <v>0</v>
      </c>
      <c r="N281" s="1">
        <v>0</v>
      </c>
      <c r="O281" t="str">
        <f t="shared" si="28"/>
        <v>Producer</v>
      </c>
      <c r="P281" s="15">
        <f t="shared" si="29"/>
        <v>0.58242607526881718</v>
      </c>
    </row>
    <row r="282" spans="1:16" x14ac:dyDescent="0.35">
      <c r="A282" t="s">
        <v>5</v>
      </c>
      <c r="B282">
        <v>7289</v>
      </c>
      <c r="C282">
        <v>2014</v>
      </c>
      <c r="D282">
        <v>9</v>
      </c>
      <c r="E282" s="6">
        <f t="shared" si="24"/>
        <v>41883</v>
      </c>
      <c r="F282" s="1">
        <v>647.45834000000002</v>
      </c>
      <c r="G282" s="1">
        <v>5314.55</v>
      </c>
      <c r="H282" s="1">
        <v>833248.65</v>
      </c>
      <c r="I282" s="1">
        <v>0</v>
      </c>
      <c r="J282" s="7">
        <f t="shared" si="25"/>
        <v>196.99985639230474</v>
      </c>
      <c r="K282" s="1">
        <f t="shared" si="26"/>
        <v>196.99985639230474</v>
      </c>
      <c r="L282" s="13">
        <f t="shared" si="27"/>
        <v>0</v>
      </c>
      <c r="M282" s="1">
        <v>0</v>
      </c>
      <c r="N282" s="1">
        <v>0</v>
      </c>
      <c r="O282" t="str">
        <f t="shared" si="28"/>
        <v>Producer</v>
      </c>
      <c r="P282" s="15">
        <f t="shared" si="29"/>
        <v>0.89924769444444452</v>
      </c>
    </row>
    <row r="283" spans="1:16" x14ac:dyDescent="0.35">
      <c r="A283" t="s">
        <v>5</v>
      </c>
      <c r="B283">
        <v>7289</v>
      </c>
      <c r="C283">
        <v>2014</v>
      </c>
      <c r="D283">
        <v>10</v>
      </c>
      <c r="E283" s="6">
        <f t="shared" si="24"/>
        <v>41913</v>
      </c>
      <c r="F283" s="1">
        <v>733.33333000000005</v>
      </c>
      <c r="G283" s="1">
        <v>5732.97</v>
      </c>
      <c r="H283" s="1">
        <v>886879.16</v>
      </c>
      <c r="I283" s="1">
        <v>182.78</v>
      </c>
      <c r="J283" s="7">
        <f t="shared" si="25"/>
        <v>187.62447358011124</v>
      </c>
      <c r="K283" s="1">
        <f t="shared" si="26"/>
        <v>187.62447358011124</v>
      </c>
      <c r="L283" s="13">
        <f t="shared" si="27"/>
        <v>3.0897181253433631E-2</v>
      </c>
      <c r="M283" s="1">
        <v>0</v>
      </c>
      <c r="N283" s="1">
        <v>0</v>
      </c>
      <c r="O283" t="str">
        <f t="shared" si="28"/>
        <v>Producer</v>
      </c>
      <c r="P283" s="15">
        <f t="shared" si="29"/>
        <v>0.98566307795698926</v>
      </c>
    </row>
    <row r="284" spans="1:16" x14ac:dyDescent="0.35">
      <c r="A284" t="s">
        <v>5</v>
      </c>
      <c r="B284">
        <v>7289</v>
      </c>
      <c r="C284">
        <v>2014</v>
      </c>
      <c r="D284">
        <v>11</v>
      </c>
      <c r="E284" s="6">
        <f t="shared" si="24"/>
        <v>41944</v>
      </c>
      <c r="F284" s="1">
        <v>597.375</v>
      </c>
      <c r="G284" s="1">
        <v>4716.3100000000004</v>
      </c>
      <c r="H284" s="1">
        <v>732052.12</v>
      </c>
      <c r="I284" s="1">
        <v>192.87</v>
      </c>
      <c r="J284" s="7">
        <f t="shared" si="25"/>
        <v>189.48138104205901</v>
      </c>
      <c r="K284" s="1">
        <f t="shared" si="26"/>
        <v>189.48138104205901</v>
      </c>
      <c r="L284" s="13">
        <f t="shared" si="27"/>
        <v>3.9287620335779087E-2</v>
      </c>
      <c r="M284" s="1">
        <v>0</v>
      </c>
      <c r="N284" s="1">
        <v>0</v>
      </c>
      <c r="O284" t="str">
        <f t="shared" si="28"/>
        <v>Producer</v>
      </c>
      <c r="P284" s="15">
        <f t="shared" si="29"/>
        <v>0.82968750000000002</v>
      </c>
    </row>
    <row r="285" spans="1:16" x14ac:dyDescent="0.35">
      <c r="A285" t="s">
        <v>5</v>
      </c>
      <c r="B285">
        <v>7289</v>
      </c>
      <c r="C285">
        <v>2014</v>
      </c>
      <c r="D285">
        <v>12</v>
      </c>
      <c r="E285" s="6">
        <f t="shared" si="24"/>
        <v>41974</v>
      </c>
      <c r="F285" s="1">
        <v>0</v>
      </c>
      <c r="G285" s="1">
        <v>0</v>
      </c>
      <c r="H285" s="1">
        <v>0</v>
      </c>
      <c r="I285" s="1">
        <v>0</v>
      </c>
      <c r="J285" s="7" t="str">
        <f t="shared" si="25"/>
        <v/>
      </c>
      <c r="K285" s="1" t="str">
        <f t="shared" si="26"/>
        <v/>
      </c>
      <c r="L285" s="13" t="str">
        <f t="shared" si="27"/>
        <v/>
      </c>
      <c r="M285" s="1">
        <v>0</v>
      </c>
      <c r="N285" s="1">
        <v>0</v>
      </c>
      <c r="O285" t="str">
        <f t="shared" si="28"/>
        <v>No production</v>
      </c>
      <c r="P285" s="15" t="str">
        <f t="shared" si="29"/>
        <v/>
      </c>
    </row>
    <row r="286" spans="1:16" x14ac:dyDescent="0.35">
      <c r="A286" t="s">
        <v>5</v>
      </c>
      <c r="B286">
        <v>7289</v>
      </c>
      <c r="C286">
        <v>2015</v>
      </c>
      <c r="D286">
        <v>1</v>
      </c>
      <c r="E286" s="6">
        <f t="shared" si="24"/>
        <v>42005</v>
      </c>
      <c r="F286" s="1">
        <v>697.46666000000005</v>
      </c>
      <c r="G286" s="1">
        <v>5975.51</v>
      </c>
      <c r="H286" s="1">
        <v>878873.59</v>
      </c>
      <c r="I286" s="1">
        <v>207.79</v>
      </c>
      <c r="J286" s="7">
        <f t="shared" si="25"/>
        <v>205.61877466659124</v>
      </c>
      <c r="K286" s="1">
        <f t="shared" si="26"/>
        <v>205.61877466659124</v>
      </c>
      <c r="L286" s="13">
        <f t="shared" si="27"/>
        <v>3.3605032911228627E-2</v>
      </c>
      <c r="M286" s="1">
        <v>0</v>
      </c>
      <c r="N286" s="1">
        <v>0</v>
      </c>
      <c r="O286" t="str">
        <f t="shared" si="28"/>
        <v>Producer</v>
      </c>
      <c r="P286" s="15">
        <f t="shared" si="29"/>
        <v>0.9374551881720431</v>
      </c>
    </row>
    <row r="287" spans="1:16" x14ac:dyDescent="0.35">
      <c r="A287" t="s">
        <v>5</v>
      </c>
      <c r="B287">
        <v>7289</v>
      </c>
      <c r="C287">
        <v>2015</v>
      </c>
      <c r="D287">
        <v>2</v>
      </c>
      <c r="E287" s="6">
        <f t="shared" si="24"/>
        <v>42036</v>
      </c>
      <c r="F287" s="1">
        <v>649.39166</v>
      </c>
      <c r="G287" s="1">
        <v>4581.29</v>
      </c>
      <c r="H287" s="1">
        <v>696960.15</v>
      </c>
      <c r="I287" s="1">
        <v>258.99</v>
      </c>
      <c r="J287" s="7">
        <f t="shared" si="25"/>
        <v>169.3137851508595</v>
      </c>
      <c r="K287" s="1">
        <f t="shared" si="26"/>
        <v>169.3137851508595</v>
      </c>
      <c r="L287" s="13">
        <f t="shared" si="27"/>
        <v>5.3507235118629502E-2</v>
      </c>
      <c r="M287" s="1">
        <v>0</v>
      </c>
      <c r="N287" s="1">
        <v>0</v>
      </c>
      <c r="O287" t="str">
        <f t="shared" si="28"/>
        <v>Producer</v>
      </c>
      <c r="P287" s="15">
        <f t="shared" si="29"/>
        <v>0.96635663690476192</v>
      </c>
    </row>
    <row r="288" spans="1:16" x14ac:dyDescent="0.35">
      <c r="A288" t="s">
        <v>5</v>
      </c>
      <c r="B288">
        <v>7289</v>
      </c>
      <c r="C288">
        <v>2015</v>
      </c>
      <c r="D288">
        <v>3</v>
      </c>
      <c r="E288" s="6">
        <f t="shared" si="24"/>
        <v>42064</v>
      </c>
      <c r="F288" s="1">
        <v>665.66666999999995</v>
      </c>
      <c r="G288" s="1">
        <v>4133.47</v>
      </c>
      <c r="H288" s="1">
        <v>610220.42000000004</v>
      </c>
      <c r="I288" s="1">
        <v>309.74</v>
      </c>
      <c r="J288" s="7">
        <f t="shared" si="25"/>
        <v>149.02846194777939</v>
      </c>
      <c r="K288" s="1">
        <f t="shared" si="26"/>
        <v>149.02846194777939</v>
      </c>
      <c r="L288" s="13">
        <f t="shared" si="27"/>
        <v>6.9710862191973824E-2</v>
      </c>
      <c r="M288" s="1">
        <v>0</v>
      </c>
      <c r="N288" s="1">
        <v>0</v>
      </c>
      <c r="O288" t="str">
        <f t="shared" si="28"/>
        <v>Producer</v>
      </c>
      <c r="P288" s="15">
        <f t="shared" si="29"/>
        <v>0.89471326612903224</v>
      </c>
    </row>
    <row r="289" spans="1:16" x14ac:dyDescent="0.35">
      <c r="A289" t="s">
        <v>5</v>
      </c>
      <c r="B289">
        <v>7289</v>
      </c>
      <c r="C289">
        <v>2015</v>
      </c>
      <c r="D289">
        <v>4</v>
      </c>
      <c r="E289" s="6">
        <f t="shared" si="24"/>
        <v>42095</v>
      </c>
      <c r="F289" s="1">
        <v>720</v>
      </c>
      <c r="G289" s="1">
        <v>4259.92</v>
      </c>
      <c r="H289" s="1">
        <v>621371.14</v>
      </c>
      <c r="I289" s="1">
        <v>318.02999999999997</v>
      </c>
      <c r="J289" s="7">
        <f t="shared" si="25"/>
        <v>141.99733333333333</v>
      </c>
      <c r="K289" s="1">
        <f t="shared" si="26"/>
        <v>141.99733333333333</v>
      </c>
      <c r="L289" s="13">
        <f t="shared" si="27"/>
        <v>6.9469959261241387E-2</v>
      </c>
      <c r="M289" s="1">
        <v>0</v>
      </c>
      <c r="N289" s="1">
        <v>0</v>
      </c>
      <c r="O289" t="str">
        <f t="shared" si="28"/>
        <v>Producer</v>
      </c>
      <c r="P289" s="15">
        <f t="shared" si="29"/>
        <v>1</v>
      </c>
    </row>
    <row r="290" spans="1:16" x14ac:dyDescent="0.35">
      <c r="A290" t="s">
        <v>5</v>
      </c>
      <c r="B290">
        <v>7289</v>
      </c>
      <c r="C290">
        <v>2015</v>
      </c>
      <c r="D290">
        <v>5</v>
      </c>
      <c r="E290" s="6">
        <f t="shared" si="24"/>
        <v>42125</v>
      </c>
      <c r="F290" s="1">
        <v>737.16666999999995</v>
      </c>
      <c r="G290" s="1">
        <v>4057.96</v>
      </c>
      <c r="H290" s="1">
        <v>591890.28</v>
      </c>
      <c r="I290" s="1">
        <v>301.77</v>
      </c>
      <c r="J290" s="7">
        <f t="shared" si="25"/>
        <v>132.11536001756565</v>
      </c>
      <c r="K290" s="1">
        <f t="shared" si="26"/>
        <v>132.11536001756565</v>
      </c>
      <c r="L290" s="13">
        <f t="shared" si="27"/>
        <v>6.921758916263164E-2</v>
      </c>
      <c r="M290" s="1">
        <v>0</v>
      </c>
      <c r="N290" s="1">
        <v>0</v>
      </c>
      <c r="O290" t="str">
        <f t="shared" si="28"/>
        <v>Producer</v>
      </c>
      <c r="P290" s="15">
        <f t="shared" si="29"/>
        <v>0.99081541666666662</v>
      </c>
    </row>
    <row r="291" spans="1:16" x14ac:dyDescent="0.35">
      <c r="A291" t="s">
        <v>5</v>
      </c>
      <c r="B291">
        <v>7289</v>
      </c>
      <c r="C291">
        <v>2015</v>
      </c>
      <c r="D291">
        <v>6</v>
      </c>
      <c r="E291" s="6">
        <f t="shared" si="24"/>
        <v>42156</v>
      </c>
      <c r="F291" s="1">
        <v>718.98334</v>
      </c>
      <c r="G291" s="1">
        <v>3665.8</v>
      </c>
      <c r="H291" s="1">
        <v>537022.80000000005</v>
      </c>
      <c r="I291" s="1">
        <v>291.57</v>
      </c>
      <c r="J291" s="7">
        <f t="shared" si="25"/>
        <v>122.36611769057126</v>
      </c>
      <c r="K291" s="1">
        <f t="shared" si="26"/>
        <v>122.36611769057126</v>
      </c>
      <c r="L291" s="13">
        <f t="shared" si="27"/>
        <v>7.3677720304141381E-2</v>
      </c>
      <c r="M291" s="1">
        <v>0</v>
      </c>
      <c r="N291" s="1">
        <v>0</v>
      </c>
      <c r="O291" t="str">
        <f t="shared" si="28"/>
        <v>Producer</v>
      </c>
      <c r="P291" s="15">
        <f t="shared" si="29"/>
        <v>0.99858797222222218</v>
      </c>
    </row>
    <row r="292" spans="1:16" x14ac:dyDescent="0.35">
      <c r="A292" t="s">
        <v>5</v>
      </c>
      <c r="B292">
        <v>7289</v>
      </c>
      <c r="C292">
        <v>2015</v>
      </c>
      <c r="D292">
        <v>7</v>
      </c>
      <c r="E292" s="6">
        <f t="shared" si="24"/>
        <v>42186</v>
      </c>
      <c r="F292" s="1">
        <v>420.18360999999999</v>
      </c>
      <c r="G292" s="1">
        <v>2238.4499999999998</v>
      </c>
      <c r="H292" s="1">
        <v>329941.90999999997</v>
      </c>
      <c r="I292" s="1">
        <v>184.75</v>
      </c>
      <c r="J292" s="7">
        <f t="shared" si="25"/>
        <v>127.8555343936428</v>
      </c>
      <c r="K292" s="1">
        <f t="shared" si="26"/>
        <v>127.8555343936428</v>
      </c>
      <c r="L292" s="13">
        <f t="shared" si="27"/>
        <v>7.6242159128425233E-2</v>
      </c>
      <c r="M292" s="1">
        <v>0</v>
      </c>
      <c r="N292" s="1">
        <v>0</v>
      </c>
      <c r="O292" t="str">
        <f t="shared" si="28"/>
        <v>Producer</v>
      </c>
      <c r="P292" s="15">
        <f t="shared" si="29"/>
        <v>0.56476291666666667</v>
      </c>
    </row>
    <row r="293" spans="1:16" x14ac:dyDescent="0.35">
      <c r="A293" t="s">
        <v>5</v>
      </c>
      <c r="B293">
        <v>7289</v>
      </c>
      <c r="C293">
        <v>2015</v>
      </c>
      <c r="D293">
        <v>8</v>
      </c>
      <c r="E293" s="6">
        <f t="shared" si="24"/>
        <v>42217</v>
      </c>
      <c r="F293" s="1">
        <v>276.29097000000002</v>
      </c>
      <c r="G293" s="1">
        <v>3577.67</v>
      </c>
      <c r="H293" s="1">
        <v>542285.92000000004</v>
      </c>
      <c r="I293" s="1">
        <v>1856.58</v>
      </c>
      <c r="J293" s="7">
        <f t="shared" si="25"/>
        <v>310.77410890410209</v>
      </c>
      <c r="K293" s="1">
        <f t="shared" si="26"/>
        <v>310.77410890410209</v>
      </c>
      <c r="L293" s="13">
        <f t="shared" si="27"/>
        <v>0.3416442011317109</v>
      </c>
      <c r="M293" s="1">
        <v>0</v>
      </c>
      <c r="N293" s="1">
        <v>0</v>
      </c>
      <c r="O293" t="str">
        <f t="shared" si="28"/>
        <v>Producer</v>
      </c>
      <c r="P293" s="15">
        <f t="shared" si="29"/>
        <v>0.37135883064516129</v>
      </c>
    </row>
    <row r="294" spans="1:16" x14ac:dyDescent="0.35">
      <c r="A294" t="s">
        <v>5</v>
      </c>
      <c r="B294">
        <v>7289</v>
      </c>
      <c r="C294">
        <v>2015</v>
      </c>
      <c r="D294">
        <v>9</v>
      </c>
      <c r="E294" s="6">
        <f t="shared" si="24"/>
        <v>42248</v>
      </c>
      <c r="F294" s="1">
        <v>719.15805</v>
      </c>
      <c r="G294" s="1">
        <v>7417.35</v>
      </c>
      <c r="H294" s="1">
        <v>1121246.68</v>
      </c>
      <c r="I294" s="1">
        <v>3986.62</v>
      </c>
      <c r="J294" s="7">
        <f t="shared" si="25"/>
        <v>247.53446060987571</v>
      </c>
      <c r="K294" s="1">
        <f t="shared" si="26"/>
        <v>247.53446060987571</v>
      </c>
      <c r="L294" s="13">
        <f t="shared" si="27"/>
        <v>0.34958176845431893</v>
      </c>
      <c r="M294" s="1">
        <v>0</v>
      </c>
      <c r="N294" s="1">
        <v>0</v>
      </c>
      <c r="O294" t="str">
        <f t="shared" si="28"/>
        <v>Producer</v>
      </c>
      <c r="P294" s="15">
        <f t="shared" si="29"/>
        <v>0.99883062499999997</v>
      </c>
    </row>
    <row r="295" spans="1:16" x14ac:dyDescent="0.35">
      <c r="A295" t="s">
        <v>5</v>
      </c>
      <c r="B295">
        <v>7289</v>
      </c>
      <c r="C295">
        <v>2015</v>
      </c>
      <c r="D295">
        <v>10</v>
      </c>
      <c r="E295" s="6">
        <f t="shared" si="24"/>
        <v>42278</v>
      </c>
      <c r="F295" s="1">
        <v>743.16666999999995</v>
      </c>
      <c r="G295" s="1">
        <v>6346.83</v>
      </c>
      <c r="H295" s="1">
        <v>972413.69</v>
      </c>
      <c r="I295" s="1">
        <v>3628.62</v>
      </c>
      <c r="J295" s="7">
        <f t="shared" si="25"/>
        <v>204.96602733812054</v>
      </c>
      <c r="K295" s="1">
        <f t="shared" si="26"/>
        <v>204.96602733812054</v>
      </c>
      <c r="L295" s="13">
        <f t="shared" si="27"/>
        <v>0.36375501857059078</v>
      </c>
      <c r="M295" s="1">
        <v>0</v>
      </c>
      <c r="N295" s="1">
        <v>0</v>
      </c>
      <c r="O295" t="str">
        <f t="shared" si="28"/>
        <v>Producer</v>
      </c>
      <c r="P295" s="15">
        <f t="shared" si="29"/>
        <v>0.99887993279569887</v>
      </c>
    </row>
    <row r="296" spans="1:16" x14ac:dyDescent="0.35">
      <c r="A296" t="s">
        <v>5</v>
      </c>
      <c r="B296">
        <v>7289</v>
      </c>
      <c r="C296">
        <v>2015</v>
      </c>
      <c r="D296">
        <v>11</v>
      </c>
      <c r="E296" s="6">
        <f t="shared" si="24"/>
        <v>42309</v>
      </c>
      <c r="F296" s="1">
        <v>438.72541000000001</v>
      </c>
      <c r="G296" s="1">
        <v>3926.01</v>
      </c>
      <c r="H296" s="1">
        <v>605737.54</v>
      </c>
      <c r="I296" s="1">
        <v>2740.47</v>
      </c>
      <c r="J296" s="7">
        <f t="shared" si="25"/>
        <v>214.76813936990794</v>
      </c>
      <c r="K296" s="1">
        <f t="shared" si="26"/>
        <v>214.76813936990794</v>
      </c>
      <c r="L296" s="13">
        <f t="shared" si="27"/>
        <v>0.41108201029628827</v>
      </c>
      <c r="M296" s="1">
        <v>0</v>
      </c>
      <c r="N296" s="1">
        <v>0</v>
      </c>
      <c r="O296" t="str">
        <f t="shared" si="28"/>
        <v>Producer</v>
      </c>
      <c r="P296" s="15">
        <f t="shared" si="29"/>
        <v>0.60934084722222226</v>
      </c>
    </row>
    <row r="297" spans="1:16" x14ac:dyDescent="0.35">
      <c r="A297" t="s">
        <v>5</v>
      </c>
      <c r="B297">
        <v>7289</v>
      </c>
      <c r="C297">
        <v>2015</v>
      </c>
      <c r="D297">
        <v>12</v>
      </c>
      <c r="E297" s="6">
        <f t="shared" si="24"/>
        <v>42339</v>
      </c>
      <c r="F297" s="1">
        <v>541.17499999999995</v>
      </c>
      <c r="G297" s="1">
        <v>4919.04</v>
      </c>
      <c r="H297" s="1">
        <v>751606.71</v>
      </c>
      <c r="I297" s="1">
        <v>5075.9399999999996</v>
      </c>
      <c r="J297" s="7">
        <f t="shared" si="25"/>
        <v>218.14932323185661</v>
      </c>
      <c r="K297" s="1">
        <f t="shared" si="26"/>
        <v>218.14932323185661</v>
      </c>
      <c r="L297" s="13">
        <f t="shared" si="27"/>
        <v>0.50784894016796434</v>
      </c>
      <c r="M297" s="1">
        <v>0</v>
      </c>
      <c r="N297" s="1">
        <v>0</v>
      </c>
      <c r="O297" t="str">
        <f t="shared" si="28"/>
        <v>Producer</v>
      </c>
      <c r="P297" s="15">
        <f t="shared" si="29"/>
        <v>0.72738575268817196</v>
      </c>
    </row>
    <row r="298" spans="1:16" x14ac:dyDescent="0.35">
      <c r="A298" t="s">
        <v>5</v>
      </c>
      <c r="B298">
        <v>7289</v>
      </c>
      <c r="C298">
        <v>2016</v>
      </c>
      <c r="D298">
        <v>1</v>
      </c>
      <c r="E298" s="6">
        <f t="shared" si="24"/>
        <v>42370</v>
      </c>
      <c r="F298" s="1">
        <v>350.4</v>
      </c>
      <c r="G298" s="1">
        <v>2890.93</v>
      </c>
      <c r="H298" s="1">
        <v>445568.02</v>
      </c>
      <c r="I298" s="1">
        <v>3648.91</v>
      </c>
      <c r="J298" s="7">
        <f t="shared" si="25"/>
        <v>198.00890410958903</v>
      </c>
      <c r="K298" s="1">
        <f t="shared" si="26"/>
        <v>198.00890410958903</v>
      </c>
      <c r="L298" s="13">
        <f t="shared" si="27"/>
        <v>0.55795095904486958</v>
      </c>
      <c r="M298" s="1">
        <v>0</v>
      </c>
      <c r="N298" s="1">
        <v>0</v>
      </c>
      <c r="O298" t="str">
        <f t="shared" si="28"/>
        <v>Producer</v>
      </c>
      <c r="P298" s="15">
        <f t="shared" si="29"/>
        <v>0.47096774193548385</v>
      </c>
    </row>
    <row r="299" spans="1:16" x14ac:dyDescent="0.35">
      <c r="A299" t="s">
        <v>5</v>
      </c>
      <c r="B299">
        <v>7289</v>
      </c>
      <c r="C299">
        <v>2016</v>
      </c>
      <c r="D299">
        <v>2</v>
      </c>
      <c r="E299" s="6">
        <f t="shared" si="24"/>
        <v>42401</v>
      </c>
      <c r="F299" s="1">
        <v>694.75</v>
      </c>
      <c r="G299" s="1">
        <v>5109.33</v>
      </c>
      <c r="H299" s="1">
        <v>805794.85</v>
      </c>
      <c r="I299" s="1">
        <v>5891.02</v>
      </c>
      <c r="J299" s="7">
        <f t="shared" si="25"/>
        <v>176.50078445483987</v>
      </c>
      <c r="K299" s="1">
        <f t="shared" si="26"/>
        <v>176.50078445483987</v>
      </c>
      <c r="L299" s="13">
        <f t="shared" si="27"/>
        <v>0.53553023312894588</v>
      </c>
      <c r="M299" s="1">
        <v>0</v>
      </c>
      <c r="N299" s="1">
        <v>0</v>
      </c>
      <c r="O299" t="str">
        <f t="shared" si="28"/>
        <v>Producer</v>
      </c>
      <c r="P299" s="15">
        <f t="shared" si="29"/>
        <v>0.99820402298850575</v>
      </c>
    </row>
    <row r="300" spans="1:16" x14ac:dyDescent="0.35">
      <c r="A300" t="s">
        <v>5</v>
      </c>
      <c r="B300">
        <v>7289</v>
      </c>
      <c r="C300">
        <v>2016</v>
      </c>
      <c r="D300">
        <v>3</v>
      </c>
      <c r="E300" s="6">
        <f t="shared" si="24"/>
        <v>42430</v>
      </c>
      <c r="F300" s="1">
        <v>550.65832</v>
      </c>
      <c r="G300" s="1">
        <v>3747.55</v>
      </c>
      <c r="H300" s="1">
        <v>600593.91</v>
      </c>
      <c r="I300" s="1">
        <v>5035.04</v>
      </c>
      <c r="J300" s="7">
        <f t="shared" si="25"/>
        <v>163.33395271318156</v>
      </c>
      <c r="K300" s="1">
        <f t="shared" si="26"/>
        <v>163.33395271318156</v>
      </c>
      <c r="L300" s="13">
        <f t="shared" si="27"/>
        <v>0.57329785404988731</v>
      </c>
      <c r="M300" s="1">
        <v>0</v>
      </c>
      <c r="N300" s="1">
        <v>0</v>
      </c>
      <c r="O300" t="str">
        <f t="shared" si="28"/>
        <v>Producer</v>
      </c>
      <c r="P300" s="15">
        <f t="shared" si="29"/>
        <v>0.74013215053763437</v>
      </c>
    </row>
    <row r="301" spans="1:16" x14ac:dyDescent="0.35">
      <c r="A301" t="s">
        <v>5</v>
      </c>
      <c r="B301">
        <v>7289</v>
      </c>
      <c r="C301">
        <v>2016</v>
      </c>
      <c r="D301">
        <v>4</v>
      </c>
      <c r="E301" s="6">
        <f t="shared" si="24"/>
        <v>42461</v>
      </c>
      <c r="F301" s="1">
        <v>576.50833999999998</v>
      </c>
      <c r="G301" s="1">
        <v>4544.16</v>
      </c>
      <c r="H301" s="1">
        <v>751127.49</v>
      </c>
      <c r="I301" s="1">
        <v>5688.1</v>
      </c>
      <c r="J301" s="7">
        <f t="shared" si="25"/>
        <v>189.17304821644038</v>
      </c>
      <c r="K301" s="1">
        <f t="shared" si="26"/>
        <v>189.17304821644038</v>
      </c>
      <c r="L301" s="13">
        <f t="shared" si="27"/>
        <v>0.55589869686657689</v>
      </c>
      <c r="M301" s="1">
        <v>0</v>
      </c>
      <c r="N301" s="1">
        <v>0</v>
      </c>
      <c r="O301" t="str">
        <f t="shared" si="28"/>
        <v>Producer</v>
      </c>
      <c r="P301" s="15">
        <f t="shared" si="29"/>
        <v>0.80070602777777777</v>
      </c>
    </row>
    <row r="302" spans="1:16" x14ac:dyDescent="0.35">
      <c r="A302" t="s">
        <v>5</v>
      </c>
      <c r="B302">
        <v>7289</v>
      </c>
      <c r="C302">
        <v>2016</v>
      </c>
      <c r="D302">
        <v>5</v>
      </c>
      <c r="E302" s="6">
        <f t="shared" si="24"/>
        <v>42491</v>
      </c>
      <c r="F302" s="1">
        <v>677.16666999999995</v>
      </c>
      <c r="G302" s="1">
        <v>4699.01</v>
      </c>
      <c r="H302" s="1">
        <v>740192.61</v>
      </c>
      <c r="I302" s="1">
        <v>6004.13</v>
      </c>
      <c r="J302" s="7">
        <f t="shared" si="25"/>
        <v>166.54133316986793</v>
      </c>
      <c r="K302" s="1">
        <f t="shared" si="26"/>
        <v>166.54133316986793</v>
      </c>
      <c r="L302" s="13">
        <f t="shared" si="27"/>
        <v>0.56096902404341165</v>
      </c>
      <c r="M302" s="1">
        <v>0</v>
      </c>
      <c r="N302" s="1">
        <v>0</v>
      </c>
      <c r="O302" t="str">
        <f t="shared" si="28"/>
        <v>Producer</v>
      </c>
      <c r="P302" s="15">
        <f t="shared" si="29"/>
        <v>0.910170255376344</v>
      </c>
    </row>
    <row r="303" spans="1:16" x14ac:dyDescent="0.35">
      <c r="A303" t="s">
        <v>5</v>
      </c>
      <c r="B303">
        <v>7289</v>
      </c>
      <c r="C303">
        <v>2016</v>
      </c>
      <c r="D303">
        <v>6</v>
      </c>
      <c r="E303" s="6">
        <f t="shared" si="24"/>
        <v>42522</v>
      </c>
      <c r="F303" s="1">
        <v>604.91665999999998</v>
      </c>
      <c r="G303" s="1">
        <v>3463.91</v>
      </c>
      <c r="H303" s="1">
        <v>555535.97</v>
      </c>
      <c r="I303" s="1">
        <v>5390.5</v>
      </c>
      <c r="J303" s="7">
        <f t="shared" si="25"/>
        <v>137.43023708422911</v>
      </c>
      <c r="K303" s="1">
        <f t="shared" si="26"/>
        <v>137.43023708422911</v>
      </c>
      <c r="L303" s="13">
        <f t="shared" si="27"/>
        <v>0.60879268070938664</v>
      </c>
      <c r="M303" s="1">
        <v>0</v>
      </c>
      <c r="N303" s="1">
        <v>0</v>
      </c>
      <c r="O303" t="str">
        <f t="shared" si="28"/>
        <v>Producer</v>
      </c>
      <c r="P303" s="15">
        <f t="shared" si="29"/>
        <v>0.84016202777777771</v>
      </c>
    </row>
    <row r="304" spans="1:16" x14ac:dyDescent="0.35">
      <c r="A304" t="s">
        <v>5</v>
      </c>
      <c r="B304">
        <v>7289</v>
      </c>
      <c r="C304">
        <v>2016</v>
      </c>
      <c r="D304">
        <v>7</v>
      </c>
      <c r="E304" s="6">
        <f t="shared" si="24"/>
        <v>42552</v>
      </c>
      <c r="F304" s="1">
        <v>138.375</v>
      </c>
      <c r="G304" s="1">
        <v>828.57</v>
      </c>
      <c r="H304" s="1">
        <v>133160.32999999999</v>
      </c>
      <c r="I304" s="1">
        <v>1172.18</v>
      </c>
      <c r="J304" s="7">
        <f t="shared" si="25"/>
        <v>143.70861788617887</v>
      </c>
      <c r="K304" s="1">
        <f t="shared" si="26"/>
        <v>143.70861788617887</v>
      </c>
      <c r="L304" s="13">
        <f t="shared" si="27"/>
        <v>0.58587029863801077</v>
      </c>
      <c r="M304" s="1">
        <v>0</v>
      </c>
      <c r="N304" s="1">
        <v>0</v>
      </c>
      <c r="O304" t="str">
        <f t="shared" si="28"/>
        <v>Producer</v>
      </c>
      <c r="P304" s="15">
        <f t="shared" si="29"/>
        <v>0.18598790322580644</v>
      </c>
    </row>
    <row r="305" spans="1:16" x14ac:dyDescent="0.35">
      <c r="A305" t="s">
        <v>5</v>
      </c>
      <c r="B305">
        <v>7289</v>
      </c>
      <c r="C305">
        <v>2016</v>
      </c>
      <c r="D305">
        <v>8</v>
      </c>
      <c r="E305" s="6">
        <f t="shared" si="24"/>
        <v>42583</v>
      </c>
      <c r="F305" s="1">
        <v>0</v>
      </c>
      <c r="G305" s="1">
        <v>0</v>
      </c>
      <c r="H305" s="1">
        <v>0</v>
      </c>
      <c r="I305" s="1">
        <v>0</v>
      </c>
      <c r="J305" s="7" t="str">
        <f t="shared" si="25"/>
        <v/>
      </c>
      <c r="K305" s="1" t="str">
        <f t="shared" si="26"/>
        <v/>
      </c>
      <c r="L305" s="13" t="str">
        <f t="shared" si="27"/>
        <v/>
      </c>
      <c r="M305" s="1">
        <v>0</v>
      </c>
      <c r="N305" s="1">
        <v>0</v>
      </c>
      <c r="O305" t="str">
        <f t="shared" si="28"/>
        <v>No production</v>
      </c>
      <c r="P305" s="15" t="str">
        <f t="shared" si="29"/>
        <v/>
      </c>
    </row>
    <row r="306" spans="1:16" x14ac:dyDescent="0.35">
      <c r="A306" t="s">
        <v>5</v>
      </c>
      <c r="B306">
        <v>7289</v>
      </c>
      <c r="C306">
        <v>2016</v>
      </c>
      <c r="D306">
        <v>9</v>
      </c>
      <c r="E306" s="6">
        <f t="shared" si="24"/>
        <v>42614</v>
      </c>
      <c r="F306" s="1">
        <v>0</v>
      </c>
      <c r="G306" s="1">
        <v>0</v>
      </c>
      <c r="H306" s="1">
        <v>0</v>
      </c>
      <c r="I306" s="1">
        <v>0</v>
      </c>
      <c r="J306" s="7" t="str">
        <f t="shared" si="25"/>
        <v/>
      </c>
      <c r="K306" s="1" t="str">
        <f t="shared" si="26"/>
        <v/>
      </c>
      <c r="L306" s="13" t="str">
        <f t="shared" si="27"/>
        <v/>
      </c>
      <c r="M306" s="1">
        <v>0</v>
      </c>
      <c r="N306" s="1">
        <v>0</v>
      </c>
      <c r="O306" t="str">
        <f t="shared" si="28"/>
        <v>No production</v>
      </c>
      <c r="P306" s="15" t="str">
        <f t="shared" si="29"/>
        <v/>
      </c>
    </row>
    <row r="307" spans="1:16" x14ac:dyDescent="0.35">
      <c r="A307" t="s">
        <v>6</v>
      </c>
      <c r="B307">
        <v>5693</v>
      </c>
      <c r="C307">
        <v>2007</v>
      </c>
      <c r="D307">
        <v>9</v>
      </c>
      <c r="E307" s="6">
        <f t="shared" si="24"/>
        <v>39326</v>
      </c>
      <c r="F307" s="1">
        <v>0</v>
      </c>
      <c r="G307" s="1">
        <v>0</v>
      </c>
      <c r="H307" s="1">
        <v>0</v>
      </c>
      <c r="I307" s="1">
        <v>0</v>
      </c>
      <c r="J307" s="7" t="str">
        <f t="shared" si="25"/>
        <v/>
      </c>
      <c r="K307" s="1" t="str">
        <f t="shared" si="26"/>
        <v/>
      </c>
      <c r="L307" s="13" t="str">
        <f t="shared" si="27"/>
        <v/>
      </c>
      <c r="M307" s="1">
        <v>0</v>
      </c>
      <c r="N307" s="1">
        <v>0</v>
      </c>
      <c r="O307" t="str">
        <f t="shared" si="28"/>
        <v>No production</v>
      </c>
      <c r="P307" s="15" t="str">
        <f t="shared" si="29"/>
        <v/>
      </c>
    </row>
    <row r="308" spans="1:16" x14ac:dyDescent="0.35">
      <c r="A308" t="s">
        <v>6</v>
      </c>
      <c r="B308">
        <v>5693</v>
      </c>
      <c r="C308">
        <v>2007</v>
      </c>
      <c r="D308">
        <v>10</v>
      </c>
      <c r="E308" s="6">
        <f t="shared" si="24"/>
        <v>39356</v>
      </c>
      <c r="F308" s="1">
        <v>0</v>
      </c>
      <c r="G308" s="1">
        <v>0</v>
      </c>
      <c r="H308" s="1">
        <v>0</v>
      </c>
      <c r="I308" s="1">
        <v>0</v>
      </c>
      <c r="J308" s="7" t="str">
        <f t="shared" si="25"/>
        <v/>
      </c>
      <c r="K308" s="1" t="str">
        <f t="shared" si="26"/>
        <v/>
      </c>
      <c r="L308" s="13" t="str">
        <f t="shared" si="27"/>
        <v/>
      </c>
      <c r="M308" s="1">
        <v>0</v>
      </c>
      <c r="N308" s="1">
        <v>0</v>
      </c>
      <c r="O308" t="str">
        <f t="shared" si="28"/>
        <v>No production</v>
      </c>
      <c r="P308" s="15" t="str">
        <f t="shared" si="29"/>
        <v/>
      </c>
    </row>
    <row r="309" spans="1:16" x14ac:dyDescent="0.35">
      <c r="A309" t="s">
        <v>6</v>
      </c>
      <c r="B309">
        <v>5693</v>
      </c>
      <c r="C309">
        <v>2007</v>
      </c>
      <c r="D309">
        <v>11</v>
      </c>
      <c r="E309" s="6">
        <f t="shared" si="24"/>
        <v>39387</v>
      </c>
      <c r="F309" s="1">
        <v>0</v>
      </c>
      <c r="G309" s="1">
        <v>0</v>
      </c>
      <c r="H309" s="1">
        <v>0</v>
      </c>
      <c r="I309" s="1">
        <v>0</v>
      </c>
      <c r="J309" s="7" t="str">
        <f t="shared" si="25"/>
        <v/>
      </c>
      <c r="K309" s="1" t="str">
        <f t="shared" si="26"/>
        <v/>
      </c>
      <c r="L309" s="13" t="str">
        <f t="shared" si="27"/>
        <v/>
      </c>
      <c r="M309" s="1">
        <v>0</v>
      </c>
      <c r="N309" s="1">
        <v>0</v>
      </c>
      <c r="O309" t="str">
        <f t="shared" si="28"/>
        <v>No production</v>
      </c>
      <c r="P309" s="15" t="str">
        <f t="shared" si="29"/>
        <v/>
      </c>
    </row>
    <row r="310" spans="1:16" x14ac:dyDescent="0.35">
      <c r="A310" t="s">
        <v>6</v>
      </c>
      <c r="B310">
        <v>5693</v>
      </c>
      <c r="C310">
        <v>2007</v>
      </c>
      <c r="D310">
        <v>12</v>
      </c>
      <c r="E310" s="6">
        <f t="shared" si="24"/>
        <v>39417</v>
      </c>
      <c r="F310" s="1">
        <v>0</v>
      </c>
      <c r="G310" s="1">
        <v>0</v>
      </c>
      <c r="H310" s="1">
        <v>0</v>
      </c>
      <c r="I310" s="1">
        <v>0</v>
      </c>
      <c r="J310" s="7" t="str">
        <f t="shared" si="25"/>
        <v/>
      </c>
      <c r="K310" s="1" t="str">
        <f t="shared" si="26"/>
        <v/>
      </c>
      <c r="L310" s="13" t="str">
        <f t="shared" si="27"/>
        <v/>
      </c>
      <c r="M310" s="1">
        <v>0</v>
      </c>
      <c r="N310" s="1">
        <v>0</v>
      </c>
      <c r="O310" t="str">
        <f t="shared" si="28"/>
        <v>No production</v>
      </c>
      <c r="P310" s="15" t="str">
        <f t="shared" si="29"/>
        <v/>
      </c>
    </row>
    <row r="311" spans="1:16" x14ac:dyDescent="0.35">
      <c r="A311" t="s">
        <v>6</v>
      </c>
      <c r="B311">
        <v>5693</v>
      </c>
      <c r="C311">
        <v>2008</v>
      </c>
      <c r="D311">
        <v>1</v>
      </c>
      <c r="E311" s="6">
        <f t="shared" si="24"/>
        <v>39448</v>
      </c>
      <c r="F311" s="1">
        <v>0</v>
      </c>
      <c r="G311" s="1">
        <v>0</v>
      </c>
      <c r="H311" s="1">
        <v>0</v>
      </c>
      <c r="I311" s="1">
        <v>0</v>
      </c>
      <c r="J311" s="7" t="str">
        <f t="shared" si="25"/>
        <v/>
      </c>
      <c r="K311" s="1" t="str">
        <f t="shared" si="26"/>
        <v/>
      </c>
      <c r="L311" s="13" t="str">
        <f t="shared" si="27"/>
        <v/>
      </c>
      <c r="M311" s="1">
        <v>0</v>
      </c>
      <c r="N311" s="1">
        <v>0</v>
      </c>
      <c r="O311" t="str">
        <f t="shared" si="28"/>
        <v>No production</v>
      </c>
      <c r="P311" s="15" t="str">
        <f t="shared" si="29"/>
        <v/>
      </c>
    </row>
    <row r="312" spans="1:16" x14ac:dyDescent="0.35">
      <c r="A312" t="s">
        <v>6</v>
      </c>
      <c r="B312">
        <v>5693</v>
      </c>
      <c r="C312">
        <v>2008</v>
      </c>
      <c r="D312">
        <v>2</v>
      </c>
      <c r="E312" s="6">
        <f t="shared" si="24"/>
        <v>39479</v>
      </c>
      <c r="F312" s="1">
        <v>0</v>
      </c>
      <c r="G312" s="1">
        <v>0</v>
      </c>
      <c r="H312" s="1">
        <v>0</v>
      </c>
      <c r="I312" s="1">
        <v>0</v>
      </c>
      <c r="J312" s="7" t="str">
        <f t="shared" si="25"/>
        <v/>
      </c>
      <c r="K312" s="1" t="str">
        <f t="shared" si="26"/>
        <v/>
      </c>
      <c r="L312" s="13" t="str">
        <f t="shared" si="27"/>
        <v/>
      </c>
      <c r="M312" s="1">
        <v>0</v>
      </c>
      <c r="N312" s="1">
        <v>0</v>
      </c>
      <c r="O312" t="str">
        <f t="shared" si="28"/>
        <v>No production</v>
      </c>
      <c r="P312" s="15" t="str">
        <f t="shared" si="29"/>
        <v/>
      </c>
    </row>
    <row r="313" spans="1:16" x14ac:dyDescent="0.35">
      <c r="A313" t="s">
        <v>6</v>
      </c>
      <c r="B313">
        <v>5693</v>
      </c>
      <c r="C313">
        <v>2008</v>
      </c>
      <c r="D313">
        <v>3</v>
      </c>
      <c r="E313" s="6">
        <f t="shared" si="24"/>
        <v>39508</v>
      </c>
      <c r="F313" s="1">
        <v>0</v>
      </c>
      <c r="G313" s="1">
        <v>0</v>
      </c>
      <c r="H313" s="1">
        <v>0</v>
      </c>
      <c r="I313" s="1">
        <v>0</v>
      </c>
      <c r="J313" s="7" t="str">
        <f t="shared" si="25"/>
        <v/>
      </c>
      <c r="K313" s="1" t="str">
        <f t="shared" si="26"/>
        <v/>
      </c>
      <c r="L313" s="13" t="str">
        <f t="shared" si="27"/>
        <v/>
      </c>
      <c r="M313" s="1">
        <v>0</v>
      </c>
      <c r="N313" s="1">
        <v>0</v>
      </c>
      <c r="O313" t="str">
        <f t="shared" si="28"/>
        <v>No production</v>
      </c>
      <c r="P313" s="15" t="str">
        <f t="shared" si="29"/>
        <v/>
      </c>
    </row>
    <row r="314" spans="1:16" x14ac:dyDescent="0.35">
      <c r="A314" t="s">
        <v>6</v>
      </c>
      <c r="B314">
        <v>5693</v>
      </c>
      <c r="C314">
        <v>2008</v>
      </c>
      <c r="D314">
        <v>4</v>
      </c>
      <c r="E314" s="6">
        <f t="shared" si="24"/>
        <v>39539</v>
      </c>
      <c r="F314" s="1">
        <v>118.65</v>
      </c>
      <c r="G314" s="1">
        <v>0</v>
      </c>
      <c r="H314" s="1">
        <v>0</v>
      </c>
      <c r="I314" s="1">
        <v>0</v>
      </c>
      <c r="J314" s="7">
        <f t="shared" si="25"/>
        <v>0</v>
      </c>
      <c r="K314" s="1">
        <f t="shared" si="26"/>
        <v>0</v>
      </c>
      <c r="L314" s="13" t="str">
        <f t="shared" si="27"/>
        <v/>
      </c>
      <c r="M314" s="1">
        <v>0</v>
      </c>
      <c r="N314" s="1">
        <v>29752.686893425602</v>
      </c>
      <c r="O314" t="str">
        <f t="shared" si="28"/>
        <v>Injector</v>
      </c>
      <c r="P314" s="15">
        <f t="shared" si="29"/>
        <v>0.16479166666666667</v>
      </c>
    </row>
    <row r="315" spans="1:16" x14ac:dyDescent="0.35">
      <c r="A315" t="s">
        <v>6</v>
      </c>
      <c r="B315">
        <v>5693</v>
      </c>
      <c r="C315">
        <v>2008</v>
      </c>
      <c r="D315">
        <v>5</v>
      </c>
      <c r="E315" s="6">
        <f t="shared" si="24"/>
        <v>39569</v>
      </c>
      <c r="F315" s="1">
        <v>714.005</v>
      </c>
      <c r="G315" s="1">
        <v>0</v>
      </c>
      <c r="H315" s="1">
        <v>0</v>
      </c>
      <c r="I315" s="1">
        <v>0</v>
      </c>
      <c r="J315" s="7">
        <f t="shared" si="25"/>
        <v>0</v>
      </c>
      <c r="K315" s="1">
        <f t="shared" si="26"/>
        <v>0</v>
      </c>
      <c r="L315" s="13" t="str">
        <f t="shared" si="27"/>
        <v/>
      </c>
      <c r="M315" s="1">
        <v>0</v>
      </c>
      <c r="N315" s="1">
        <v>221337.106474167</v>
      </c>
      <c r="O315" t="str">
        <f t="shared" si="28"/>
        <v>Injector</v>
      </c>
      <c r="P315" s="15">
        <f t="shared" si="29"/>
        <v>0.95968413978494627</v>
      </c>
    </row>
    <row r="316" spans="1:16" x14ac:dyDescent="0.35">
      <c r="A316" t="s">
        <v>6</v>
      </c>
      <c r="B316">
        <v>5693</v>
      </c>
      <c r="C316">
        <v>2008</v>
      </c>
      <c r="D316">
        <v>6</v>
      </c>
      <c r="E316" s="6">
        <f t="shared" si="24"/>
        <v>39600</v>
      </c>
      <c r="F316" s="1">
        <v>598.81667000000004</v>
      </c>
      <c r="G316" s="1">
        <v>0</v>
      </c>
      <c r="H316" s="1">
        <v>0</v>
      </c>
      <c r="I316" s="1">
        <v>0</v>
      </c>
      <c r="J316" s="7">
        <f t="shared" si="25"/>
        <v>0</v>
      </c>
      <c r="K316" s="1">
        <f t="shared" si="26"/>
        <v>0</v>
      </c>
      <c r="L316" s="13" t="str">
        <f t="shared" si="27"/>
        <v/>
      </c>
      <c r="M316" s="1">
        <v>0</v>
      </c>
      <c r="N316" s="1">
        <v>211803.65386397101</v>
      </c>
      <c r="O316" t="str">
        <f t="shared" si="28"/>
        <v>Injector</v>
      </c>
      <c r="P316" s="15">
        <f t="shared" si="29"/>
        <v>0.83168981944444453</v>
      </c>
    </row>
    <row r="317" spans="1:16" x14ac:dyDescent="0.35">
      <c r="A317" t="s">
        <v>6</v>
      </c>
      <c r="B317">
        <v>5693</v>
      </c>
      <c r="C317">
        <v>2008</v>
      </c>
      <c r="D317">
        <v>7</v>
      </c>
      <c r="E317" s="6">
        <f t="shared" si="24"/>
        <v>39630</v>
      </c>
      <c r="F317" s="1">
        <v>620.80832999999996</v>
      </c>
      <c r="G317" s="1">
        <v>0</v>
      </c>
      <c r="H317" s="1">
        <v>0</v>
      </c>
      <c r="I317" s="1">
        <v>0</v>
      </c>
      <c r="J317" s="7">
        <f t="shared" si="25"/>
        <v>0</v>
      </c>
      <c r="K317" s="1">
        <f t="shared" si="26"/>
        <v>0</v>
      </c>
      <c r="L317" s="13" t="str">
        <f t="shared" si="27"/>
        <v/>
      </c>
      <c r="M317" s="1">
        <v>0</v>
      </c>
      <c r="N317" s="1">
        <v>232029.66274033301</v>
      </c>
      <c r="O317" t="str">
        <f t="shared" si="28"/>
        <v>Injector</v>
      </c>
      <c r="P317" s="15">
        <f t="shared" si="29"/>
        <v>0.83441979838709668</v>
      </c>
    </row>
    <row r="318" spans="1:16" x14ac:dyDescent="0.35">
      <c r="A318" t="s">
        <v>6</v>
      </c>
      <c r="B318">
        <v>5693</v>
      </c>
      <c r="C318">
        <v>2008</v>
      </c>
      <c r="D318">
        <v>8</v>
      </c>
      <c r="E318" s="6">
        <f t="shared" si="24"/>
        <v>39661</v>
      </c>
      <c r="F318" s="1">
        <v>663.07501999999999</v>
      </c>
      <c r="G318" s="1">
        <v>0</v>
      </c>
      <c r="H318" s="1">
        <v>0</v>
      </c>
      <c r="I318" s="1">
        <v>0</v>
      </c>
      <c r="J318" s="7">
        <f t="shared" si="25"/>
        <v>0</v>
      </c>
      <c r="K318" s="1">
        <f t="shared" si="26"/>
        <v>0</v>
      </c>
      <c r="L318" s="13" t="str">
        <f t="shared" si="27"/>
        <v/>
      </c>
      <c r="M318" s="1">
        <v>0</v>
      </c>
      <c r="N318" s="1">
        <v>213913.26389397099</v>
      </c>
      <c r="O318" t="str">
        <f t="shared" si="28"/>
        <v>Injector</v>
      </c>
      <c r="P318" s="15">
        <f t="shared" si="29"/>
        <v>0.89122986559139783</v>
      </c>
    </row>
    <row r="319" spans="1:16" x14ac:dyDescent="0.35">
      <c r="A319" t="s">
        <v>6</v>
      </c>
      <c r="B319">
        <v>5693</v>
      </c>
      <c r="C319">
        <v>2008</v>
      </c>
      <c r="D319">
        <v>9</v>
      </c>
      <c r="E319" s="6">
        <f t="shared" si="24"/>
        <v>39692</v>
      </c>
      <c r="F319" s="1">
        <v>558.14562000000001</v>
      </c>
      <c r="G319" s="1">
        <v>0</v>
      </c>
      <c r="H319" s="1">
        <v>0</v>
      </c>
      <c r="I319" s="1">
        <v>0</v>
      </c>
      <c r="J319" s="7">
        <f t="shared" si="25"/>
        <v>0</v>
      </c>
      <c r="K319" s="1">
        <f t="shared" si="26"/>
        <v>0</v>
      </c>
      <c r="L319" s="13" t="str">
        <f t="shared" si="27"/>
        <v/>
      </c>
      <c r="M319" s="1">
        <v>0</v>
      </c>
      <c r="N319" s="1">
        <v>98583.301266153707</v>
      </c>
      <c r="O319" t="str">
        <f t="shared" si="28"/>
        <v>Injector</v>
      </c>
      <c r="P319" s="15">
        <f t="shared" si="29"/>
        <v>0.77520224999999998</v>
      </c>
    </row>
    <row r="320" spans="1:16" x14ac:dyDescent="0.35">
      <c r="A320" t="s">
        <v>6</v>
      </c>
      <c r="B320">
        <v>5693</v>
      </c>
      <c r="C320">
        <v>2008</v>
      </c>
      <c r="D320">
        <v>10</v>
      </c>
      <c r="E320" s="6">
        <f t="shared" si="24"/>
        <v>39722</v>
      </c>
      <c r="F320" s="1">
        <v>701.91666999999995</v>
      </c>
      <c r="G320" s="1">
        <v>0</v>
      </c>
      <c r="H320" s="1">
        <v>0</v>
      </c>
      <c r="I320" s="1">
        <v>0</v>
      </c>
      <c r="J320" s="7">
        <f t="shared" si="25"/>
        <v>0</v>
      </c>
      <c r="K320" s="1">
        <f t="shared" si="26"/>
        <v>0</v>
      </c>
      <c r="L320" s="13" t="str">
        <f t="shared" si="27"/>
        <v/>
      </c>
      <c r="M320" s="1">
        <v>0</v>
      </c>
      <c r="N320" s="1">
        <v>233503.40590122499</v>
      </c>
      <c r="O320" t="str">
        <f t="shared" si="28"/>
        <v>Injector</v>
      </c>
      <c r="P320" s="15">
        <f t="shared" si="29"/>
        <v>0.94343638440860211</v>
      </c>
    </row>
    <row r="321" spans="1:16" x14ac:dyDescent="0.35">
      <c r="A321" t="s">
        <v>6</v>
      </c>
      <c r="B321">
        <v>5693</v>
      </c>
      <c r="C321">
        <v>2008</v>
      </c>
      <c r="D321">
        <v>11</v>
      </c>
      <c r="E321" s="6">
        <f t="shared" si="24"/>
        <v>39753</v>
      </c>
      <c r="F321" s="1">
        <v>711.66666999999995</v>
      </c>
      <c r="G321" s="1">
        <v>0</v>
      </c>
      <c r="H321" s="1">
        <v>0</v>
      </c>
      <c r="I321" s="1">
        <v>0</v>
      </c>
      <c r="J321" s="7">
        <f t="shared" si="25"/>
        <v>0</v>
      </c>
      <c r="K321" s="1">
        <f t="shared" si="26"/>
        <v>0</v>
      </c>
      <c r="L321" s="13" t="str">
        <f t="shared" si="27"/>
        <v/>
      </c>
      <c r="M321" s="1">
        <v>0</v>
      </c>
      <c r="N321" s="1">
        <v>222126.099228406</v>
      </c>
      <c r="O321" t="str">
        <f t="shared" si="28"/>
        <v>Injector</v>
      </c>
      <c r="P321" s="15">
        <f t="shared" si="29"/>
        <v>0.9884259305555555</v>
      </c>
    </row>
    <row r="322" spans="1:16" x14ac:dyDescent="0.35">
      <c r="A322" t="s">
        <v>6</v>
      </c>
      <c r="B322">
        <v>5693</v>
      </c>
      <c r="C322">
        <v>2008</v>
      </c>
      <c r="D322">
        <v>12</v>
      </c>
      <c r="E322" s="6">
        <f t="shared" si="24"/>
        <v>39783</v>
      </c>
      <c r="F322" s="1">
        <v>742.66665999999998</v>
      </c>
      <c r="G322" s="1">
        <v>0</v>
      </c>
      <c r="H322" s="1">
        <v>0</v>
      </c>
      <c r="I322" s="1">
        <v>0</v>
      </c>
      <c r="J322" s="7">
        <f t="shared" si="25"/>
        <v>0</v>
      </c>
      <c r="K322" s="1">
        <f t="shared" si="26"/>
        <v>0</v>
      </c>
      <c r="L322" s="13" t="str">
        <f t="shared" si="27"/>
        <v/>
      </c>
      <c r="M322" s="1">
        <v>0</v>
      </c>
      <c r="N322" s="1">
        <v>263191.83667770802</v>
      </c>
      <c r="O322" t="str">
        <f t="shared" si="28"/>
        <v>Injector</v>
      </c>
      <c r="P322" s="15">
        <f t="shared" si="29"/>
        <v>0.99820787634408603</v>
      </c>
    </row>
    <row r="323" spans="1:16" x14ac:dyDescent="0.35">
      <c r="A323" t="s">
        <v>6</v>
      </c>
      <c r="B323">
        <v>5693</v>
      </c>
      <c r="C323">
        <v>2009</v>
      </c>
      <c r="D323">
        <v>1</v>
      </c>
      <c r="E323" s="6">
        <f t="shared" ref="E323:E386" si="30">DATE(C323, D323, 1)</f>
        <v>39814</v>
      </c>
      <c r="F323" s="1">
        <v>699.33331999999996</v>
      </c>
      <c r="G323" s="1">
        <v>0</v>
      </c>
      <c r="H323" s="1">
        <v>0</v>
      </c>
      <c r="I323" s="1">
        <v>0</v>
      </c>
      <c r="J323" s="7">
        <f t="shared" ref="J323:J386" si="31">IF(F323&gt;0,G323/(F323/24),"")</f>
        <v>0</v>
      </c>
      <c r="K323" s="1">
        <f t="shared" ref="K323:K386" si="32">+J323</f>
        <v>0</v>
      </c>
      <c r="L323" s="13" t="str">
        <f t="shared" ref="L323:L386" si="33">+IF((G323+I323)&gt;0,I323/(G323+I323),"")</f>
        <v/>
      </c>
      <c r="M323" s="1">
        <v>0</v>
      </c>
      <c r="N323" s="1">
        <v>246659.903594167</v>
      </c>
      <c r="O323" t="str">
        <f t="shared" ref="O323:O386" si="34">IF(F323&gt;0,IF(N(N323)&gt;0,"Injector",IF(N(G323)&gt;0,"Producer","Inactive")),"No production")</f>
        <v>Injector</v>
      </c>
      <c r="P323" s="15">
        <f t="shared" ref="P323:P386" si="35">+IF(F323&gt;0,F323/(DAY(EOMONTH(E323,0))*24),"")</f>
        <v>0.9399641397849462</v>
      </c>
    </row>
    <row r="324" spans="1:16" x14ac:dyDescent="0.35">
      <c r="A324" t="s">
        <v>6</v>
      </c>
      <c r="B324">
        <v>5693</v>
      </c>
      <c r="C324">
        <v>2009</v>
      </c>
      <c r="D324">
        <v>2</v>
      </c>
      <c r="E324" s="6">
        <f t="shared" si="30"/>
        <v>39845</v>
      </c>
      <c r="F324" s="1">
        <v>639.66666999999995</v>
      </c>
      <c r="G324" s="1">
        <v>0</v>
      </c>
      <c r="H324" s="1">
        <v>0</v>
      </c>
      <c r="I324" s="1">
        <v>0</v>
      </c>
      <c r="J324" s="7">
        <f t="shared" si="31"/>
        <v>0</v>
      </c>
      <c r="K324" s="1">
        <f t="shared" si="32"/>
        <v>0</v>
      </c>
      <c r="L324" s="13" t="str">
        <f t="shared" si="33"/>
        <v/>
      </c>
      <c r="M324" s="1">
        <v>0</v>
      </c>
      <c r="N324" s="1">
        <v>221133.680716042</v>
      </c>
      <c r="O324" t="str">
        <f t="shared" si="34"/>
        <v>Injector</v>
      </c>
      <c r="P324" s="15">
        <f t="shared" si="35"/>
        <v>0.95188492559523807</v>
      </c>
    </row>
    <row r="325" spans="1:16" x14ac:dyDescent="0.35">
      <c r="A325" t="s">
        <v>6</v>
      </c>
      <c r="B325">
        <v>5693</v>
      </c>
      <c r="C325">
        <v>2009</v>
      </c>
      <c r="D325">
        <v>3</v>
      </c>
      <c r="E325" s="6">
        <f t="shared" si="30"/>
        <v>39873</v>
      </c>
      <c r="F325" s="1">
        <v>191.08331999999999</v>
      </c>
      <c r="G325" s="1">
        <v>0</v>
      </c>
      <c r="H325" s="1">
        <v>0</v>
      </c>
      <c r="I325" s="1">
        <v>0</v>
      </c>
      <c r="J325" s="7">
        <f t="shared" si="31"/>
        <v>0</v>
      </c>
      <c r="K325" s="1">
        <f t="shared" si="32"/>
        <v>0</v>
      </c>
      <c r="L325" s="13" t="str">
        <f t="shared" si="33"/>
        <v/>
      </c>
      <c r="M325" s="1">
        <v>0</v>
      </c>
      <c r="N325" s="1">
        <v>61187.968703333303</v>
      </c>
      <c r="O325" t="str">
        <f t="shared" si="34"/>
        <v>Injector</v>
      </c>
      <c r="P325" s="15">
        <f t="shared" si="35"/>
        <v>0.25683241935483869</v>
      </c>
    </row>
    <row r="326" spans="1:16" x14ac:dyDescent="0.35">
      <c r="A326" t="s">
        <v>6</v>
      </c>
      <c r="B326">
        <v>5693</v>
      </c>
      <c r="C326">
        <v>2009</v>
      </c>
      <c r="D326">
        <v>4</v>
      </c>
      <c r="E326" s="6">
        <f t="shared" si="30"/>
        <v>39904</v>
      </c>
      <c r="F326" s="1">
        <v>543.79999999999995</v>
      </c>
      <c r="G326" s="1">
        <v>0</v>
      </c>
      <c r="H326" s="1">
        <v>0</v>
      </c>
      <c r="I326" s="1">
        <v>0</v>
      </c>
      <c r="J326" s="7">
        <f t="shared" si="31"/>
        <v>0</v>
      </c>
      <c r="K326" s="1">
        <f t="shared" si="32"/>
        <v>0</v>
      </c>
      <c r="L326" s="13" t="str">
        <f t="shared" si="33"/>
        <v/>
      </c>
      <c r="M326" s="1">
        <v>0</v>
      </c>
      <c r="N326" s="1">
        <v>106559.345925</v>
      </c>
      <c r="O326" t="str">
        <f t="shared" si="34"/>
        <v>Injector</v>
      </c>
      <c r="P326" s="15">
        <f t="shared" si="35"/>
        <v>0.75527777777777771</v>
      </c>
    </row>
    <row r="327" spans="1:16" x14ac:dyDescent="0.35">
      <c r="A327" t="s">
        <v>6</v>
      </c>
      <c r="B327">
        <v>5693</v>
      </c>
      <c r="C327">
        <v>2009</v>
      </c>
      <c r="D327">
        <v>5</v>
      </c>
      <c r="E327" s="6">
        <f t="shared" si="30"/>
        <v>39934</v>
      </c>
      <c r="F327" s="1">
        <v>710.5</v>
      </c>
      <c r="G327" s="1">
        <v>0</v>
      </c>
      <c r="H327" s="1">
        <v>0</v>
      </c>
      <c r="I327" s="1">
        <v>0</v>
      </c>
      <c r="J327" s="7">
        <f t="shared" si="31"/>
        <v>0</v>
      </c>
      <c r="K327" s="1">
        <f t="shared" si="32"/>
        <v>0</v>
      </c>
      <c r="L327" s="13" t="str">
        <f t="shared" si="33"/>
        <v/>
      </c>
      <c r="M327" s="1">
        <v>0</v>
      </c>
      <c r="N327" s="1">
        <v>231503.09557979199</v>
      </c>
      <c r="O327" t="str">
        <f t="shared" si="34"/>
        <v>Injector</v>
      </c>
      <c r="P327" s="15">
        <f t="shared" si="35"/>
        <v>0.95497311827956988</v>
      </c>
    </row>
    <row r="328" spans="1:16" x14ac:dyDescent="0.35">
      <c r="A328" t="s">
        <v>6</v>
      </c>
      <c r="B328">
        <v>5693</v>
      </c>
      <c r="C328">
        <v>2009</v>
      </c>
      <c r="D328">
        <v>6</v>
      </c>
      <c r="E328" s="6">
        <f t="shared" si="30"/>
        <v>39965</v>
      </c>
      <c r="F328" s="1">
        <v>690.64999</v>
      </c>
      <c r="G328" s="1">
        <v>0</v>
      </c>
      <c r="H328" s="1">
        <v>0</v>
      </c>
      <c r="I328" s="1">
        <v>0</v>
      </c>
      <c r="J328" s="7">
        <f t="shared" si="31"/>
        <v>0</v>
      </c>
      <c r="K328" s="1">
        <f t="shared" si="32"/>
        <v>0</v>
      </c>
      <c r="L328" s="13" t="str">
        <f t="shared" si="33"/>
        <v/>
      </c>
      <c r="M328" s="1">
        <v>0</v>
      </c>
      <c r="N328" s="1">
        <v>129987.98364666699</v>
      </c>
      <c r="O328" t="str">
        <f t="shared" si="34"/>
        <v>Injector</v>
      </c>
      <c r="P328" s="15">
        <f t="shared" si="35"/>
        <v>0.95923609722222225</v>
      </c>
    </row>
    <row r="329" spans="1:16" x14ac:dyDescent="0.35">
      <c r="A329" t="s">
        <v>6</v>
      </c>
      <c r="B329">
        <v>5693</v>
      </c>
      <c r="C329">
        <v>2009</v>
      </c>
      <c r="D329">
        <v>7</v>
      </c>
      <c r="E329" s="6">
        <f t="shared" si="30"/>
        <v>39995</v>
      </c>
      <c r="F329" s="1">
        <v>734.83333000000005</v>
      </c>
      <c r="G329" s="1">
        <v>0</v>
      </c>
      <c r="H329" s="1">
        <v>0</v>
      </c>
      <c r="I329" s="1">
        <v>0</v>
      </c>
      <c r="J329" s="7">
        <f t="shared" si="31"/>
        <v>0</v>
      </c>
      <c r="K329" s="1">
        <f t="shared" si="32"/>
        <v>0</v>
      </c>
      <c r="L329" s="13" t="str">
        <f t="shared" si="33"/>
        <v/>
      </c>
      <c r="M329" s="1">
        <v>0</v>
      </c>
      <c r="N329" s="1">
        <v>191228.27029625</v>
      </c>
      <c r="O329" t="str">
        <f t="shared" si="34"/>
        <v>Injector</v>
      </c>
      <c r="P329" s="15">
        <f t="shared" si="35"/>
        <v>0.98767920698924738</v>
      </c>
    </row>
    <row r="330" spans="1:16" x14ac:dyDescent="0.35">
      <c r="A330" t="s">
        <v>6</v>
      </c>
      <c r="B330">
        <v>5693</v>
      </c>
      <c r="C330">
        <v>2009</v>
      </c>
      <c r="D330">
        <v>8</v>
      </c>
      <c r="E330" s="6">
        <f t="shared" si="30"/>
        <v>40026</v>
      </c>
      <c r="F330" s="1">
        <v>704.82500000000005</v>
      </c>
      <c r="G330" s="1">
        <v>0</v>
      </c>
      <c r="H330" s="1">
        <v>0</v>
      </c>
      <c r="I330" s="1">
        <v>0</v>
      </c>
      <c r="J330" s="7">
        <f t="shared" si="31"/>
        <v>0</v>
      </c>
      <c r="K330" s="1">
        <f t="shared" si="32"/>
        <v>0</v>
      </c>
      <c r="L330" s="13" t="str">
        <f t="shared" si="33"/>
        <v/>
      </c>
      <c r="M330" s="1">
        <v>0</v>
      </c>
      <c r="N330" s="1">
        <v>191924.35751937499</v>
      </c>
      <c r="O330" t="str">
        <f t="shared" si="34"/>
        <v>Injector</v>
      </c>
      <c r="P330" s="15">
        <f t="shared" si="35"/>
        <v>0.94734543010752692</v>
      </c>
    </row>
    <row r="331" spans="1:16" x14ac:dyDescent="0.35">
      <c r="A331" t="s">
        <v>6</v>
      </c>
      <c r="B331">
        <v>5693</v>
      </c>
      <c r="C331">
        <v>2009</v>
      </c>
      <c r="D331">
        <v>9</v>
      </c>
      <c r="E331" s="6">
        <f t="shared" si="30"/>
        <v>40057</v>
      </c>
      <c r="F331" s="1">
        <v>509.66667000000001</v>
      </c>
      <c r="G331" s="1">
        <v>0</v>
      </c>
      <c r="H331" s="1">
        <v>0</v>
      </c>
      <c r="I331" s="1">
        <v>0</v>
      </c>
      <c r="J331" s="7">
        <f t="shared" si="31"/>
        <v>0</v>
      </c>
      <c r="K331" s="1">
        <f t="shared" si="32"/>
        <v>0</v>
      </c>
      <c r="L331" s="13" t="str">
        <f t="shared" si="33"/>
        <v/>
      </c>
      <c r="M331" s="1">
        <v>0</v>
      </c>
      <c r="N331" s="1">
        <v>163785.32184013099</v>
      </c>
      <c r="O331" t="str">
        <f t="shared" si="34"/>
        <v>Injector</v>
      </c>
      <c r="P331" s="15">
        <f t="shared" si="35"/>
        <v>0.70787037500000005</v>
      </c>
    </row>
    <row r="332" spans="1:16" x14ac:dyDescent="0.35">
      <c r="A332" t="s">
        <v>6</v>
      </c>
      <c r="B332">
        <v>5693</v>
      </c>
      <c r="C332">
        <v>2009</v>
      </c>
      <c r="D332">
        <v>10</v>
      </c>
      <c r="E332" s="6">
        <f t="shared" si="30"/>
        <v>40087</v>
      </c>
      <c r="F332" s="1">
        <v>683.72852999999998</v>
      </c>
      <c r="G332" s="1">
        <v>0</v>
      </c>
      <c r="H332" s="1">
        <v>0</v>
      </c>
      <c r="I332" s="1">
        <v>0</v>
      </c>
      <c r="J332" s="7">
        <f t="shared" si="31"/>
        <v>0</v>
      </c>
      <c r="K332" s="1">
        <f t="shared" si="32"/>
        <v>0</v>
      </c>
      <c r="L332" s="13" t="str">
        <f t="shared" si="33"/>
        <v/>
      </c>
      <c r="M332" s="1">
        <v>0</v>
      </c>
      <c r="N332" s="1">
        <v>182104.72754323701</v>
      </c>
      <c r="O332" t="str">
        <f t="shared" si="34"/>
        <v>Injector</v>
      </c>
      <c r="P332" s="15">
        <f t="shared" si="35"/>
        <v>0.91898995967741937</v>
      </c>
    </row>
    <row r="333" spans="1:16" x14ac:dyDescent="0.35">
      <c r="A333" t="s">
        <v>6</v>
      </c>
      <c r="B333">
        <v>5693</v>
      </c>
      <c r="C333">
        <v>2009</v>
      </c>
      <c r="D333">
        <v>11</v>
      </c>
      <c r="E333" s="6">
        <f t="shared" si="30"/>
        <v>40118</v>
      </c>
      <c r="F333" s="1">
        <v>706.24999000000003</v>
      </c>
      <c r="G333" s="1">
        <v>0</v>
      </c>
      <c r="H333" s="1">
        <v>0</v>
      </c>
      <c r="I333" s="1">
        <v>0</v>
      </c>
      <c r="J333" s="7">
        <f t="shared" si="31"/>
        <v>0</v>
      </c>
      <c r="K333" s="1">
        <f t="shared" si="32"/>
        <v>0</v>
      </c>
      <c r="L333" s="13" t="str">
        <f t="shared" si="33"/>
        <v/>
      </c>
      <c r="M333" s="1">
        <v>0</v>
      </c>
      <c r="N333" s="1">
        <v>203874.34742511899</v>
      </c>
      <c r="O333" t="str">
        <f t="shared" si="34"/>
        <v>Injector</v>
      </c>
      <c r="P333" s="15">
        <f t="shared" si="35"/>
        <v>0.98090276388888897</v>
      </c>
    </row>
    <row r="334" spans="1:16" x14ac:dyDescent="0.35">
      <c r="A334" t="s">
        <v>6</v>
      </c>
      <c r="B334">
        <v>5693</v>
      </c>
      <c r="C334">
        <v>2009</v>
      </c>
      <c r="D334">
        <v>12</v>
      </c>
      <c r="E334" s="6">
        <f t="shared" si="30"/>
        <v>40148</v>
      </c>
      <c r="F334" s="1">
        <v>739.5</v>
      </c>
      <c r="G334" s="1">
        <v>0</v>
      </c>
      <c r="H334" s="1">
        <v>0</v>
      </c>
      <c r="I334" s="1">
        <v>0</v>
      </c>
      <c r="J334" s="7">
        <f t="shared" si="31"/>
        <v>0</v>
      </c>
      <c r="K334" s="1">
        <f t="shared" si="32"/>
        <v>0</v>
      </c>
      <c r="L334" s="13" t="str">
        <f t="shared" si="33"/>
        <v/>
      </c>
      <c r="M334" s="1">
        <v>0</v>
      </c>
      <c r="N334" s="1">
        <v>219529.23670967101</v>
      </c>
      <c r="O334" t="str">
        <f t="shared" si="34"/>
        <v>Injector</v>
      </c>
      <c r="P334" s="15">
        <f t="shared" si="35"/>
        <v>0.99395161290322576</v>
      </c>
    </row>
    <row r="335" spans="1:16" x14ac:dyDescent="0.35">
      <c r="A335" t="s">
        <v>6</v>
      </c>
      <c r="B335">
        <v>5693</v>
      </c>
      <c r="C335">
        <v>2010</v>
      </c>
      <c r="D335">
        <v>1</v>
      </c>
      <c r="E335" s="6">
        <f t="shared" si="30"/>
        <v>40179</v>
      </c>
      <c r="F335" s="1">
        <v>735.16666999999995</v>
      </c>
      <c r="G335" s="1">
        <v>0</v>
      </c>
      <c r="H335" s="1">
        <v>0</v>
      </c>
      <c r="I335" s="1">
        <v>0</v>
      </c>
      <c r="J335" s="7">
        <f t="shared" si="31"/>
        <v>0</v>
      </c>
      <c r="K335" s="1">
        <f t="shared" si="32"/>
        <v>0</v>
      </c>
      <c r="L335" s="13" t="str">
        <f t="shared" si="33"/>
        <v/>
      </c>
      <c r="M335" s="1">
        <v>0</v>
      </c>
      <c r="N335" s="1">
        <v>222678.95831334699</v>
      </c>
      <c r="O335" t="str">
        <f t="shared" si="34"/>
        <v>Injector</v>
      </c>
      <c r="P335" s="15">
        <f t="shared" si="35"/>
        <v>0.98812724462365586</v>
      </c>
    </row>
    <row r="336" spans="1:16" x14ac:dyDescent="0.35">
      <c r="A336" t="s">
        <v>6</v>
      </c>
      <c r="B336">
        <v>5693</v>
      </c>
      <c r="C336">
        <v>2010</v>
      </c>
      <c r="D336">
        <v>2</v>
      </c>
      <c r="E336" s="6">
        <f t="shared" si="30"/>
        <v>40210</v>
      </c>
      <c r="F336" s="1">
        <v>596.16666999999995</v>
      </c>
      <c r="G336" s="1">
        <v>0</v>
      </c>
      <c r="H336" s="1">
        <v>0</v>
      </c>
      <c r="I336" s="1">
        <v>0</v>
      </c>
      <c r="J336" s="7">
        <f t="shared" si="31"/>
        <v>0</v>
      </c>
      <c r="K336" s="1">
        <f t="shared" si="32"/>
        <v>0</v>
      </c>
      <c r="L336" s="13" t="str">
        <f t="shared" si="33"/>
        <v/>
      </c>
      <c r="M336" s="1">
        <v>0</v>
      </c>
      <c r="N336" s="1">
        <v>185785.741334561</v>
      </c>
      <c r="O336" t="str">
        <f t="shared" si="34"/>
        <v>Injector</v>
      </c>
      <c r="P336" s="15">
        <f t="shared" si="35"/>
        <v>0.88715278273809517</v>
      </c>
    </row>
    <row r="337" spans="1:16" x14ac:dyDescent="0.35">
      <c r="A337" t="s">
        <v>6</v>
      </c>
      <c r="B337">
        <v>5693</v>
      </c>
      <c r="C337">
        <v>2010</v>
      </c>
      <c r="D337">
        <v>3</v>
      </c>
      <c r="E337" s="6">
        <f t="shared" si="30"/>
        <v>40238</v>
      </c>
      <c r="F337" s="1">
        <v>622.40833999999995</v>
      </c>
      <c r="G337" s="1">
        <v>0</v>
      </c>
      <c r="H337" s="1">
        <v>0</v>
      </c>
      <c r="I337" s="1">
        <v>0</v>
      </c>
      <c r="J337" s="7">
        <f t="shared" si="31"/>
        <v>0</v>
      </c>
      <c r="K337" s="1">
        <f t="shared" si="32"/>
        <v>0</v>
      </c>
      <c r="L337" s="13" t="str">
        <f t="shared" si="33"/>
        <v/>
      </c>
      <c r="M337" s="1">
        <v>0</v>
      </c>
      <c r="N337" s="1">
        <v>168939.051110951</v>
      </c>
      <c r="O337" t="str">
        <f t="shared" si="34"/>
        <v>Injector</v>
      </c>
      <c r="P337" s="15">
        <f t="shared" si="35"/>
        <v>0.83657034946236553</v>
      </c>
    </row>
    <row r="338" spans="1:16" x14ac:dyDescent="0.35">
      <c r="A338" t="s">
        <v>6</v>
      </c>
      <c r="B338">
        <v>5693</v>
      </c>
      <c r="C338">
        <v>2010</v>
      </c>
      <c r="D338">
        <v>4</v>
      </c>
      <c r="E338" s="6">
        <f t="shared" si="30"/>
        <v>40269</v>
      </c>
      <c r="F338" s="1">
        <v>669.83335</v>
      </c>
      <c r="G338" s="1">
        <v>0</v>
      </c>
      <c r="H338" s="1">
        <v>0</v>
      </c>
      <c r="I338" s="1">
        <v>0</v>
      </c>
      <c r="J338" s="7">
        <f t="shared" si="31"/>
        <v>0</v>
      </c>
      <c r="K338" s="1">
        <f t="shared" si="32"/>
        <v>0</v>
      </c>
      <c r="L338" s="13" t="str">
        <f t="shared" si="33"/>
        <v/>
      </c>
      <c r="M338" s="1">
        <v>0</v>
      </c>
      <c r="N338" s="1">
        <v>222633.11720427001</v>
      </c>
      <c r="O338" t="str">
        <f t="shared" si="34"/>
        <v>Injector</v>
      </c>
      <c r="P338" s="15">
        <f t="shared" si="35"/>
        <v>0.9303240972222222</v>
      </c>
    </row>
    <row r="339" spans="1:16" x14ac:dyDescent="0.35">
      <c r="A339" t="s">
        <v>6</v>
      </c>
      <c r="B339">
        <v>5693</v>
      </c>
      <c r="C339">
        <v>2010</v>
      </c>
      <c r="D339">
        <v>5</v>
      </c>
      <c r="E339" s="6">
        <f t="shared" si="30"/>
        <v>40299</v>
      </c>
      <c r="F339" s="1">
        <v>744</v>
      </c>
      <c r="G339" s="1">
        <v>0</v>
      </c>
      <c r="H339" s="1">
        <v>0</v>
      </c>
      <c r="I339" s="1">
        <v>0</v>
      </c>
      <c r="J339" s="7">
        <f t="shared" si="31"/>
        <v>0</v>
      </c>
      <c r="K339" s="1">
        <f t="shared" si="32"/>
        <v>0</v>
      </c>
      <c r="L339" s="13" t="str">
        <f t="shared" si="33"/>
        <v/>
      </c>
      <c r="M339" s="1">
        <v>0</v>
      </c>
      <c r="N339" s="1">
        <v>252526.34641145801</v>
      </c>
      <c r="O339" t="str">
        <f t="shared" si="34"/>
        <v>Injector</v>
      </c>
      <c r="P339" s="15">
        <f t="shared" si="35"/>
        <v>1</v>
      </c>
    </row>
    <row r="340" spans="1:16" x14ac:dyDescent="0.35">
      <c r="A340" t="s">
        <v>6</v>
      </c>
      <c r="B340">
        <v>5693</v>
      </c>
      <c r="C340">
        <v>2010</v>
      </c>
      <c r="D340">
        <v>6</v>
      </c>
      <c r="E340" s="6">
        <f t="shared" si="30"/>
        <v>40330</v>
      </c>
      <c r="F340" s="1">
        <v>715.66666999999995</v>
      </c>
      <c r="G340" s="1">
        <v>0</v>
      </c>
      <c r="H340" s="1">
        <v>0</v>
      </c>
      <c r="I340" s="1">
        <v>0</v>
      </c>
      <c r="J340" s="7">
        <f t="shared" si="31"/>
        <v>0</v>
      </c>
      <c r="K340" s="1">
        <f t="shared" si="32"/>
        <v>0</v>
      </c>
      <c r="L340" s="13" t="str">
        <f t="shared" si="33"/>
        <v/>
      </c>
      <c r="M340" s="1">
        <v>0</v>
      </c>
      <c r="N340" s="1">
        <v>210363.840612934</v>
      </c>
      <c r="O340" t="str">
        <f t="shared" si="34"/>
        <v>Injector</v>
      </c>
      <c r="P340" s="15">
        <f t="shared" si="35"/>
        <v>0.99398148611111103</v>
      </c>
    </row>
    <row r="341" spans="1:16" x14ac:dyDescent="0.35">
      <c r="A341" t="s">
        <v>6</v>
      </c>
      <c r="B341">
        <v>5693</v>
      </c>
      <c r="C341">
        <v>2010</v>
      </c>
      <c r="D341">
        <v>7</v>
      </c>
      <c r="E341" s="6">
        <f t="shared" si="30"/>
        <v>40360</v>
      </c>
      <c r="F341" s="1">
        <v>743.5</v>
      </c>
      <c r="G341" s="1">
        <v>0</v>
      </c>
      <c r="H341" s="1">
        <v>0</v>
      </c>
      <c r="I341" s="1">
        <v>0</v>
      </c>
      <c r="J341" s="7">
        <f t="shared" si="31"/>
        <v>0</v>
      </c>
      <c r="K341" s="1">
        <f t="shared" si="32"/>
        <v>0</v>
      </c>
      <c r="L341" s="13" t="str">
        <f t="shared" si="33"/>
        <v/>
      </c>
      <c r="M341" s="1">
        <v>0</v>
      </c>
      <c r="N341" s="1">
        <v>198041.39615416701</v>
      </c>
      <c r="O341" t="str">
        <f t="shared" si="34"/>
        <v>Injector</v>
      </c>
      <c r="P341" s="15">
        <f t="shared" si="35"/>
        <v>0.99932795698924726</v>
      </c>
    </row>
    <row r="342" spans="1:16" x14ac:dyDescent="0.35">
      <c r="A342" t="s">
        <v>6</v>
      </c>
      <c r="B342">
        <v>5693</v>
      </c>
      <c r="C342">
        <v>2010</v>
      </c>
      <c r="D342">
        <v>8</v>
      </c>
      <c r="E342" s="6">
        <f t="shared" si="30"/>
        <v>40391</v>
      </c>
      <c r="F342" s="1">
        <v>420.26666</v>
      </c>
      <c r="G342" s="1">
        <v>0</v>
      </c>
      <c r="H342" s="1">
        <v>0</v>
      </c>
      <c r="I342" s="1">
        <v>0</v>
      </c>
      <c r="J342" s="7">
        <f t="shared" si="31"/>
        <v>0</v>
      </c>
      <c r="K342" s="1">
        <f t="shared" si="32"/>
        <v>0</v>
      </c>
      <c r="L342" s="13" t="str">
        <f t="shared" si="33"/>
        <v/>
      </c>
      <c r="M342" s="1">
        <v>0</v>
      </c>
      <c r="N342" s="1">
        <v>108631.75795894599</v>
      </c>
      <c r="O342" t="str">
        <f t="shared" si="34"/>
        <v>Injector</v>
      </c>
      <c r="P342" s="15">
        <f t="shared" si="35"/>
        <v>0.56487454301075268</v>
      </c>
    </row>
    <row r="343" spans="1:16" x14ac:dyDescent="0.35">
      <c r="A343" t="s">
        <v>6</v>
      </c>
      <c r="B343">
        <v>5693</v>
      </c>
      <c r="C343">
        <v>2010</v>
      </c>
      <c r="D343">
        <v>9</v>
      </c>
      <c r="E343" s="6">
        <f t="shared" si="30"/>
        <v>40422</v>
      </c>
      <c r="F343" s="1">
        <v>631.15832999999998</v>
      </c>
      <c r="G343" s="1">
        <v>0</v>
      </c>
      <c r="H343" s="1">
        <v>0</v>
      </c>
      <c r="I343" s="1">
        <v>0</v>
      </c>
      <c r="J343" s="7">
        <f t="shared" si="31"/>
        <v>0</v>
      </c>
      <c r="K343" s="1">
        <f t="shared" si="32"/>
        <v>0</v>
      </c>
      <c r="L343" s="13" t="str">
        <f t="shared" si="33"/>
        <v/>
      </c>
      <c r="M343" s="1">
        <v>0</v>
      </c>
      <c r="N343" s="1">
        <v>145251.24517686499</v>
      </c>
      <c r="O343" t="str">
        <f t="shared" si="34"/>
        <v>Injector</v>
      </c>
      <c r="P343" s="15">
        <f t="shared" si="35"/>
        <v>0.87660879166666661</v>
      </c>
    </row>
    <row r="344" spans="1:16" x14ac:dyDescent="0.35">
      <c r="A344" t="s">
        <v>6</v>
      </c>
      <c r="B344">
        <v>5693</v>
      </c>
      <c r="C344">
        <v>2010</v>
      </c>
      <c r="D344">
        <v>10</v>
      </c>
      <c r="E344" s="6">
        <f t="shared" si="30"/>
        <v>40452</v>
      </c>
      <c r="F344" s="1">
        <v>700.57498999999996</v>
      </c>
      <c r="G344" s="1">
        <v>0</v>
      </c>
      <c r="H344" s="1">
        <v>0</v>
      </c>
      <c r="I344" s="1">
        <v>0</v>
      </c>
      <c r="J344" s="7">
        <f t="shared" si="31"/>
        <v>0</v>
      </c>
      <c r="K344" s="1">
        <f t="shared" si="32"/>
        <v>0</v>
      </c>
      <c r="L344" s="13" t="str">
        <f t="shared" si="33"/>
        <v/>
      </c>
      <c r="M344" s="1">
        <v>0</v>
      </c>
      <c r="N344" s="1">
        <v>194727.431412784</v>
      </c>
      <c r="O344" t="str">
        <f t="shared" si="34"/>
        <v>Injector</v>
      </c>
      <c r="P344" s="15">
        <f t="shared" si="35"/>
        <v>0.94163305107526873</v>
      </c>
    </row>
    <row r="345" spans="1:16" x14ac:dyDescent="0.35">
      <c r="A345" t="s">
        <v>6</v>
      </c>
      <c r="B345">
        <v>5693</v>
      </c>
      <c r="C345">
        <v>2010</v>
      </c>
      <c r="D345">
        <v>11</v>
      </c>
      <c r="E345" s="6">
        <f t="shared" si="30"/>
        <v>40483</v>
      </c>
      <c r="F345" s="1">
        <v>644.84167000000002</v>
      </c>
      <c r="G345" s="1">
        <v>0</v>
      </c>
      <c r="H345" s="1">
        <v>0</v>
      </c>
      <c r="I345" s="1">
        <v>0</v>
      </c>
      <c r="J345" s="7">
        <f t="shared" si="31"/>
        <v>0</v>
      </c>
      <c r="K345" s="1">
        <f t="shared" si="32"/>
        <v>0</v>
      </c>
      <c r="L345" s="13" t="str">
        <f t="shared" si="33"/>
        <v/>
      </c>
      <c r="M345" s="1">
        <v>0</v>
      </c>
      <c r="N345" s="1">
        <v>167466.12895319401</v>
      </c>
      <c r="O345" t="str">
        <f t="shared" si="34"/>
        <v>Injector</v>
      </c>
      <c r="P345" s="15">
        <f t="shared" si="35"/>
        <v>0.89561343055555553</v>
      </c>
    </row>
    <row r="346" spans="1:16" x14ac:dyDescent="0.35">
      <c r="A346" t="s">
        <v>6</v>
      </c>
      <c r="B346">
        <v>5693</v>
      </c>
      <c r="C346">
        <v>2010</v>
      </c>
      <c r="D346">
        <v>12</v>
      </c>
      <c r="E346" s="6">
        <f t="shared" si="30"/>
        <v>40513</v>
      </c>
      <c r="F346" s="1">
        <v>716.83334000000002</v>
      </c>
      <c r="G346" s="1">
        <v>0</v>
      </c>
      <c r="H346" s="1">
        <v>0</v>
      </c>
      <c r="I346" s="1">
        <v>0</v>
      </c>
      <c r="J346" s="7">
        <f t="shared" si="31"/>
        <v>0</v>
      </c>
      <c r="K346" s="1">
        <f t="shared" si="32"/>
        <v>0</v>
      </c>
      <c r="L346" s="13" t="str">
        <f t="shared" si="33"/>
        <v/>
      </c>
      <c r="M346" s="1">
        <v>0</v>
      </c>
      <c r="N346" s="1">
        <v>188426.12491277501</v>
      </c>
      <c r="O346" t="str">
        <f t="shared" si="34"/>
        <v>Injector</v>
      </c>
      <c r="P346" s="15">
        <f t="shared" si="35"/>
        <v>0.96348567204301083</v>
      </c>
    </row>
    <row r="347" spans="1:16" x14ac:dyDescent="0.35">
      <c r="A347" t="s">
        <v>6</v>
      </c>
      <c r="B347">
        <v>5693</v>
      </c>
      <c r="C347">
        <v>2011</v>
      </c>
      <c r="D347">
        <v>1</v>
      </c>
      <c r="E347" s="6">
        <f t="shared" si="30"/>
        <v>40544</v>
      </c>
      <c r="F347" s="1">
        <v>731.08333000000005</v>
      </c>
      <c r="G347" s="1">
        <v>0</v>
      </c>
      <c r="H347" s="1">
        <v>0</v>
      </c>
      <c r="I347" s="1">
        <v>0</v>
      </c>
      <c r="J347" s="7">
        <f t="shared" si="31"/>
        <v>0</v>
      </c>
      <c r="K347" s="1">
        <f t="shared" si="32"/>
        <v>0</v>
      </c>
      <c r="L347" s="13" t="str">
        <f t="shared" si="33"/>
        <v/>
      </c>
      <c r="M347" s="1">
        <v>0</v>
      </c>
      <c r="N347" s="1">
        <v>189083.650330417</v>
      </c>
      <c r="O347" t="str">
        <f t="shared" si="34"/>
        <v>Injector</v>
      </c>
      <c r="P347" s="15">
        <f t="shared" si="35"/>
        <v>0.98263888440860225</v>
      </c>
    </row>
    <row r="348" spans="1:16" x14ac:dyDescent="0.35">
      <c r="A348" t="s">
        <v>6</v>
      </c>
      <c r="B348">
        <v>5693</v>
      </c>
      <c r="C348">
        <v>2011</v>
      </c>
      <c r="D348">
        <v>2</v>
      </c>
      <c r="E348" s="6">
        <f t="shared" si="30"/>
        <v>40575</v>
      </c>
      <c r="F348" s="1">
        <v>536.74998000000005</v>
      </c>
      <c r="G348" s="1">
        <v>0</v>
      </c>
      <c r="H348" s="1">
        <v>0</v>
      </c>
      <c r="I348" s="1">
        <v>0</v>
      </c>
      <c r="J348" s="7">
        <f t="shared" si="31"/>
        <v>0</v>
      </c>
      <c r="K348" s="1">
        <f t="shared" si="32"/>
        <v>0</v>
      </c>
      <c r="L348" s="13" t="str">
        <f t="shared" si="33"/>
        <v/>
      </c>
      <c r="M348" s="1">
        <v>0</v>
      </c>
      <c r="N348" s="1">
        <v>135389.67994562699</v>
      </c>
      <c r="O348" t="str">
        <f t="shared" si="34"/>
        <v>Injector</v>
      </c>
      <c r="P348" s="15">
        <f t="shared" si="35"/>
        <v>0.79873508928571435</v>
      </c>
    </row>
    <row r="349" spans="1:16" x14ac:dyDescent="0.35">
      <c r="A349" t="s">
        <v>6</v>
      </c>
      <c r="B349">
        <v>5693</v>
      </c>
      <c r="C349">
        <v>2011</v>
      </c>
      <c r="D349">
        <v>3</v>
      </c>
      <c r="E349" s="6">
        <f t="shared" si="30"/>
        <v>40603</v>
      </c>
      <c r="F349" s="1">
        <v>716.25000999999997</v>
      </c>
      <c r="G349" s="1">
        <v>0</v>
      </c>
      <c r="H349" s="1">
        <v>0</v>
      </c>
      <c r="I349" s="1">
        <v>0</v>
      </c>
      <c r="J349" s="7">
        <f t="shared" si="31"/>
        <v>0</v>
      </c>
      <c r="K349" s="1">
        <f t="shared" si="32"/>
        <v>0</v>
      </c>
      <c r="L349" s="13" t="str">
        <f t="shared" si="33"/>
        <v/>
      </c>
      <c r="M349" s="1">
        <v>0</v>
      </c>
      <c r="N349" s="1">
        <v>184841.17272310299</v>
      </c>
      <c r="O349" t="str">
        <f t="shared" si="34"/>
        <v>Injector</v>
      </c>
      <c r="P349" s="15">
        <f t="shared" si="35"/>
        <v>0.96270162634408596</v>
      </c>
    </row>
    <row r="350" spans="1:16" x14ac:dyDescent="0.35">
      <c r="A350" t="s">
        <v>6</v>
      </c>
      <c r="B350">
        <v>5693</v>
      </c>
      <c r="C350">
        <v>2011</v>
      </c>
      <c r="D350">
        <v>4</v>
      </c>
      <c r="E350" s="6">
        <f t="shared" si="30"/>
        <v>40634</v>
      </c>
      <c r="F350" s="1">
        <v>696.5</v>
      </c>
      <c r="G350" s="1">
        <v>0</v>
      </c>
      <c r="H350" s="1">
        <v>0</v>
      </c>
      <c r="I350" s="1">
        <v>0</v>
      </c>
      <c r="J350" s="7">
        <f t="shared" si="31"/>
        <v>0</v>
      </c>
      <c r="K350" s="1">
        <f t="shared" si="32"/>
        <v>0</v>
      </c>
      <c r="L350" s="13" t="str">
        <f t="shared" si="33"/>
        <v/>
      </c>
      <c r="M350" s="1">
        <v>0</v>
      </c>
      <c r="N350" s="1">
        <v>180529.418434508</v>
      </c>
      <c r="O350" t="str">
        <f t="shared" si="34"/>
        <v>Injector</v>
      </c>
      <c r="P350" s="15">
        <f t="shared" si="35"/>
        <v>0.96736111111111112</v>
      </c>
    </row>
    <row r="351" spans="1:16" x14ac:dyDescent="0.35">
      <c r="A351" t="s">
        <v>6</v>
      </c>
      <c r="B351">
        <v>5693</v>
      </c>
      <c r="C351">
        <v>2011</v>
      </c>
      <c r="D351">
        <v>5</v>
      </c>
      <c r="E351" s="6">
        <f t="shared" si="30"/>
        <v>40664</v>
      </c>
      <c r="F351" s="1">
        <v>737.25000999999997</v>
      </c>
      <c r="G351" s="1">
        <v>0</v>
      </c>
      <c r="H351" s="1">
        <v>0</v>
      </c>
      <c r="I351" s="1">
        <v>0</v>
      </c>
      <c r="J351" s="7">
        <f t="shared" si="31"/>
        <v>0</v>
      </c>
      <c r="K351" s="1">
        <f t="shared" si="32"/>
        <v>0</v>
      </c>
      <c r="L351" s="13" t="str">
        <f t="shared" si="33"/>
        <v/>
      </c>
      <c r="M351" s="1">
        <v>0</v>
      </c>
      <c r="N351" s="1">
        <v>188176.55544130999</v>
      </c>
      <c r="O351" t="str">
        <f t="shared" si="34"/>
        <v>Injector</v>
      </c>
      <c r="P351" s="15">
        <f t="shared" si="35"/>
        <v>0.99092743279569884</v>
      </c>
    </row>
    <row r="352" spans="1:16" x14ac:dyDescent="0.35">
      <c r="A352" t="s">
        <v>6</v>
      </c>
      <c r="B352">
        <v>5693</v>
      </c>
      <c r="C352">
        <v>2011</v>
      </c>
      <c r="D352">
        <v>6</v>
      </c>
      <c r="E352" s="6">
        <f t="shared" si="30"/>
        <v>40695</v>
      </c>
      <c r="F352" s="1">
        <v>436.09167000000002</v>
      </c>
      <c r="G352" s="1">
        <v>0</v>
      </c>
      <c r="H352" s="1">
        <v>0</v>
      </c>
      <c r="I352" s="1">
        <v>0</v>
      </c>
      <c r="J352" s="7">
        <f t="shared" si="31"/>
        <v>0</v>
      </c>
      <c r="K352" s="1">
        <f t="shared" si="32"/>
        <v>0</v>
      </c>
      <c r="L352" s="13" t="str">
        <f t="shared" si="33"/>
        <v/>
      </c>
      <c r="M352" s="1">
        <v>0</v>
      </c>
      <c r="N352" s="1">
        <v>120235.26120116199</v>
      </c>
      <c r="O352" t="str">
        <f t="shared" si="34"/>
        <v>Injector</v>
      </c>
      <c r="P352" s="15">
        <f t="shared" si="35"/>
        <v>0.60568287500000006</v>
      </c>
    </row>
    <row r="353" spans="1:16" x14ac:dyDescent="0.35">
      <c r="A353" t="s">
        <v>6</v>
      </c>
      <c r="B353">
        <v>5693</v>
      </c>
      <c r="C353">
        <v>2011</v>
      </c>
      <c r="D353">
        <v>7</v>
      </c>
      <c r="E353" s="6">
        <f t="shared" si="30"/>
        <v>40725</v>
      </c>
      <c r="F353" s="1">
        <v>248.09168</v>
      </c>
      <c r="G353" s="1">
        <v>0</v>
      </c>
      <c r="H353" s="1">
        <v>0</v>
      </c>
      <c r="I353" s="1">
        <v>0</v>
      </c>
      <c r="J353" s="7">
        <f t="shared" si="31"/>
        <v>0</v>
      </c>
      <c r="K353" s="1">
        <f t="shared" si="32"/>
        <v>0</v>
      </c>
      <c r="L353" s="13" t="str">
        <f t="shared" si="33"/>
        <v/>
      </c>
      <c r="M353" s="1">
        <v>0</v>
      </c>
      <c r="N353" s="1">
        <v>65179.632855416698</v>
      </c>
      <c r="O353" t="str">
        <f t="shared" si="34"/>
        <v>Injector</v>
      </c>
      <c r="P353" s="15">
        <f t="shared" si="35"/>
        <v>0.33345655913978495</v>
      </c>
    </row>
    <row r="354" spans="1:16" x14ac:dyDescent="0.35">
      <c r="A354" t="s">
        <v>6</v>
      </c>
      <c r="B354">
        <v>5693</v>
      </c>
      <c r="C354">
        <v>2011</v>
      </c>
      <c r="D354">
        <v>8</v>
      </c>
      <c r="E354" s="6">
        <f t="shared" si="30"/>
        <v>40756</v>
      </c>
      <c r="F354" s="1">
        <v>642.82500000000005</v>
      </c>
      <c r="G354" s="1">
        <v>0</v>
      </c>
      <c r="H354" s="1">
        <v>0</v>
      </c>
      <c r="I354" s="1">
        <v>0</v>
      </c>
      <c r="J354" s="7">
        <f t="shared" si="31"/>
        <v>0</v>
      </c>
      <c r="K354" s="1">
        <f t="shared" si="32"/>
        <v>0</v>
      </c>
      <c r="L354" s="13" t="str">
        <f t="shared" si="33"/>
        <v/>
      </c>
      <c r="M354" s="1">
        <v>0</v>
      </c>
      <c r="N354" s="1">
        <v>173404.70385102299</v>
      </c>
      <c r="O354" t="str">
        <f t="shared" si="34"/>
        <v>Injector</v>
      </c>
      <c r="P354" s="15">
        <f t="shared" si="35"/>
        <v>0.86401209677419366</v>
      </c>
    </row>
    <row r="355" spans="1:16" x14ac:dyDescent="0.35">
      <c r="A355" t="s">
        <v>6</v>
      </c>
      <c r="B355">
        <v>5693</v>
      </c>
      <c r="C355">
        <v>2011</v>
      </c>
      <c r="D355">
        <v>9</v>
      </c>
      <c r="E355" s="6">
        <f t="shared" si="30"/>
        <v>40787</v>
      </c>
      <c r="F355" s="1">
        <v>689.16665999999998</v>
      </c>
      <c r="G355" s="1">
        <v>0</v>
      </c>
      <c r="H355" s="1">
        <v>0</v>
      </c>
      <c r="I355" s="1">
        <v>0</v>
      </c>
      <c r="J355" s="7">
        <f t="shared" si="31"/>
        <v>0</v>
      </c>
      <c r="K355" s="1">
        <f t="shared" si="32"/>
        <v>0</v>
      </c>
      <c r="L355" s="13" t="str">
        <f t="shared" si="33"/>
        <v/>
      </c>
      <c r="M355" s="1">
        <v>0</v>
      </c>
      <c r="N355" s="1">
        <v>174968.31468000001</v>
      </c>
      <c r="O355" t="str">
        <f t="shared" si="34"/>
        <v>Injector</v>
      </c>
      <c r="P355" s="15">
        <f t="shared" si="35"/>
        <v>0.95717591666666668</v>
      </c>
    </row>
    <row r="356" spans="1:16" x14ac:dyDescent="0.35">
      <c r="A356" t="s">
        <v>6</v>
      </c>
      <c r="B356">
        <v>5693</v>
      </c>
      <c r="C356">
        <v>2011</v>
      </c>
      <c r="D356">
        <v>10</v>
      </c>
      <c r="E356" s="6">
        <f t="shared" si="30"/>
        <v>40817</v>
      </c>
      <c r="F356" s="1">
        <v>329.05</v>
      </c>
      <c r="G356" s="1">
        <v>0</v>
      </c>
      <c r="H356" s="1">
        <v>0</v>
      </c>
      <c r="I356" s="1">
        <v>0</v>
      </c>
      <c r="J356" s="7">
        <f t="shared" si="31"/>
        <v>0</v>
      </c>
      <c r="K356" s="1">
        <f t="shared" si="32"/>
        <v>0</v>
      </c>
      <c r="L356" s="13" t="str">
        <f t="shared" si="33"/>
        <v/>
      </c>
      <c r="M356" s="1">
        <v>0</v>
      </c>
      <c r="N356" s="1">
        <v>77827.956832708296</v>
      </c>
      <c r="O356" t="str">
        <f t="shared" si="34"/>
        <v>Injector</v>
      </c>
      <c r="P356" s="15">
        <f t="shared" si="35"/>
        <v>0.44227150537634408</v>
      </c>
    </row>
    <row r="357" spans="1:16" x14ac:dyDescent="0.35">
      <c r="A357" t="s">
        <v>6</v>
      </c>
      <c r="B357">
        <v>5693</v>
      </c>
      <c r="C357">
        <v>2011</v>
      </c>
      <c r="D357">
        <v>11</v>
      </c>
      <c r="E357" s="6">
        <f t="shared" si="30"/>
        <v>40848</v>
      </c>
      <c r="F357" s="1">
        <v>475.16665</v>
      </c>
      <c r="G357" s="1">
        <v>0</v>
      </c>
      <c r="H357" s="1">
        <v>0</v>
      </c>
      <c r="I357" s="1">
        <v>0</v>
      </c>
      <c r="J357" s="7">
        <f t="shared" si="31"/>
        <v>0</v>
      </c>
      <c r="K357" s="1">
        <f t="shared" si="32"/>
        <v>0</v>
      </c>
      <c r="L357" s="13" t="str">
        <f t="shared" si="33"/>
        <v/>
      </c>
      <c r="M357" s="1">
        <v>0</v>
      </c>
      <c r="N357" s="1">
        <v>121602.289256042</v>
      </c>
      <c r="O357" t="str">
        <f t="shared" si="34"/>
        <v>Injector</v>
      </c>
      <c r="P357" s="15">
        <f t="shared" si="35"/>
        <v>0.65995368055555559</v>
      </c>
    </row>
    <row r="358" spans="1:16" x14ac:dyDescent="0.35">
      <c r="A358" t="s">
        <v>6</v>
      </c>
      <c r="B358">
        <v>5693</v>
      </c>
      <c r="C358">
        <v>2011</v>
      </c>
      <c r="D358">
        <v>12</v>
      </c>
      <c r="E358" s="6">
        <f t="shared" si="30"/>
        <v>40878</v>
      </c>
      <c r="F358" s="1">
        <v>438.68335000000002</v>
      </c>
      <c r="G358" s="1">
        <v>0</v>
      </c>
      <c r="H358" s="1">
        <v>0</v>
      </c>
      <c r="I358" s="1">
        <v>0</v>
      </c>
      <c r="J358" s="7">
        <f t="shared" si="31"/>
        <v>0</v>
      </c>
      <c r="K358" s="1">
        <f t="shared" si="32"/>
        <v>0</v>
      </c>
      <c r="L358" s="13" t="str">
        <f t="shared" si="33"/>
        <v/>
      </c>
      <c r="M358" s="1">
        <v>0</v>
      </c>
      <c r="N358" s="1">
        <v>109912.560993958</v>
      </c>
      <c r="O358" t="str">
        <f t="shared" si="34"/>
        <v>Injector</v>
      </c>
      <c r="P358" s="15">
        <f t="shared" si="35"/>
        <v>0.58962815860215056</v>
      </c>
    </row>
    <row r="359" spans="1:16" x14ac:dyDescent="0.35">
      <c r="A359" t="s">
        <v>6</v>
      </c>
      <c r="B359">
        <v>5693</v>
      </c>
      <c r="C359">
        <v>2012</v>
      </c>
      <c r="D359">
        <v>1</v>
      </c>
      <c r="E359" s="6">
        <f t="shared" si="30"/>
        <v>40909</v>
      </c>
      <c r="F359" s="1">
        <v>426.25</v>
      </c>
      <c r="G359" s="1">
        <v>0</v>
      </c>
      <c r="H359" s="1">
        <v>0</v>
      </c>
      <c r="I359" s="1">
        <v>0</v>
      </c>
      <c r="J359" s="7">
        <f t="shared" si="31"/>
        <v>0</v>
      </c>
      <c r="K359" s="1">
        <f t="shared" si="32"/>
        <v>0</v>
      </c>
      <c r="L359" s="13" t="str">
        <f t="shared" si="33"/>
        <v/>
      </c>
      <c r="M359" s="1">
        <v>0</v>
      </c>
      <c r="N359" s="1">
        <v>91244.764263749996</v>
      </c>
      <c r="O359" t="str">
        <f t="shared" si="34"/>
        <v>Injector</v>
      </c>
      <c r="P359" s="15">
        <f t="shared" si="35"/>
        <v>0.57291666666666663</v>
      </c>
    </row>
    <row r="360" spans="1:16" x14ac:dyDescent="0.35">
      <c r="A360" t="s">
        <v>6</v>
      </c>
      <c r="B360">
        <v>5693</v>
      </c>
      <c r="C360">
        <v>2012</v>
      </c>
      <c r="D360">
        <v>2</v>
      </c>
      <c r="E360" s="6">
        <f t="shared" si="30"/>
        <v>40940</v>
      </c>
      <c r="F360" s="1">
        <v>691.08333000000005</v>
      </c>
      <c r="G360" s="1">
        <v>0</v>
      </c>
      <c r="H360" s="1">
        <v>0</v>
      </c>
      <c r="I360" s="1">
        <v>0</v>
      </c>
      <c r="J360" s="7">
        <f t="shared" si="31"/>
        <v>0</v>
      </c>
      <c r="K360" s="1">
        <f t="shared" si="32"/>
        <v>0</v>
      </c>
      <c r="L360" s="13" t="str">
        <f t="shared" si="33"/>
        <v/>
      </c>
      <c r="M360" s="1">
        <v>0</v>
      </c>
      <c r="N360" s="1">
        <v>147124.84801437499</v>
      </c>
      <c r="O360" t="str">
        <f t="shared" si="34"/>
        <v>Injector</v>
      </c>
      <c r="P360" s="15">
        <f t="shared" si="35"/>
        <v>0.9929358189655173</v>
      </c>
    </row>
    <row r="361" spans="1:16" x14ac:dyDescent="0.35">
      <c r="A361" t="s">
        <v>6</v>
      </c>
      <c r="B361">
        <v>5693</v>
      </c>
      <c r="C361">
        <v>2012</v>
      </c>
      <c r="D361">
        <v>3</v>
      </c>
      <c r="E361" s="6">
        <f t="shared" si="30"/>
        <v>40969</v>
      </c>
      <c r="F361" s="1">
        <v>735.08334000000002</v>
      </c>
      <c r="G361" s="1">
        <v>0</v>
      </c>
      <c r="H361" s="1">
        <v>0</v>
      </c>
      <c r="I361" s="1">
        <v>0</v>
      </c>
      <c r="J361" s="7">
        <f t="shared" si="31"/>
        <v>0</v>
      </c>
      <c r="K361" s="1">
        <f t="shared" si="32"/>
        <v>0</v>
      </c>
      <c r="L361" s="13" t="str">
        <f t="shared" si="33"/>
        <v/>
      </c>
      <c r="M361" s="1">
        <v>0</v>
      </c>
      <c r="N361" s="1">
        <v>149154.71056209199</v>
      </c>
      <c r="O361" t="str">
        <f t="shared" si="34"/>
        <v>Injector</v>
      </c>
      <c r="P361" s="15">
        <f t="shared" si="35"/>
        <v>0.98801524193548385</v>
      </c>
    </row>
    <row r="362" spans="1:16" x14ac:dyDescent="0.35">
      <c r="A362" t="s">
        <v>6</v>
      </c>
      <c r="B362">
        <v>5693</v>
      </c>
      <c r="C362">
        <v>2012</v>
      </c>
      <c r="D362">
        <v>4</v>
      </c>
      <c r="E362" s="6">
        <f t="shared" si="30"/>
        <v>41000</v>
      </c>
      <c r="F362" s="1">
        <v>720</v>
      </c>
      <c r="G362" s="1">
        <v>0</v>
      </c>
      <c r="H362" s="1">
        <v>0</v>
      </c>
      <c r="I362" s="1">
        <v>0</v>
      </c>
      <c r="J362" s="7">
        <f t="shared" si="31"/>
        <v>0</v>
      </c>
      <c r="K362" s="1">
        <f t="shared" si="32"/>
        <v>0</v>
      </c>
      <c r="L362" s="13" t="str">
        <f t="shared" si="33"/>
        <v/>
      </c>
      <c r="M362" s="1">
        <v>0</v>
      </c>
      <c r="N362" s="1">
        <v>147365.65297374999</v>
      </c>
      <c r="O362" t="str">
        <f t="shared" si="34"/>
        <v>Injector</v>
      </c>
      <c r="P362" s="15">
        <f t="shared" si="35"/>
        <v>1</v>
      </c>
    </row>
    <row r="363" spans="1:16" x14ac:dyDescent="0.35">
      <c r="A363" t="s">
        <v>6</v>
      </c>
      <c r="B363">
        <v>5693</v>
      </c>
      <c r="C363">
        <v>2012</v>
      </c>
      <c r="D363">
        <v>5</v>
      </c>
      <c r="E363" s="6">
        <f t="shared" si="30"/>
        <v>41030</v>
      </c>
      <c r="F363" s="1">
        <v>733.08334000000002</v>
      </c>
      <c r="G363" s="1">
        <v>0</v>
      </c>
      <c r="H363" s="1">
        <v>0</v>
      </c>
      <c r="I363" s="1">
        <v>0</v>
      </c>
      <c r="J363" s="7">
        <f t="shared" si="31"/>
        <v>0</v>
      </c>
      <c r="K363" s="1">
        <f t="shared" si="32"/>
        <v>0</v>
      </c>
      <c r="L363" s="13" t="str">
        <f t="shared" si="33"/>
        <v/>
      </c>
      <c r="M363" s="1">
        <v>0</v>
      </c>
      <c r="N363" s="1">
        <v>149129.814314583</v>
      </c>
      <c r="O363" t="str">
        <f t="shared" si="34"/>
        <v>Injector</v>
      </c>
      <c r="P363" s="15">
        <f t="shared" si="35"/>
        <v>0.9853270698924731</v>
      </c>
    </row>
    <row r="364" spans="1:16" x14ac:dyDescent="0.35">
      <c r="A364" t="s">
        <v>6</v>
      </c>
      <c r="B364">
        <v>5693</v>
      </c>
      <c r="C364">
        <v>2012</v>
      </c>
      <c r="D364">
        <v>6</v>
      </c>
      <c r="E364" s="6">
        <f t="shared" si="30"/>
        <v>41061</v>
      </c>
      <c r="F364" s="1">
        <v>710.16666999999995</v>
      </c>
      <c r="G364" s="1">
        <v>0</v>
      </c>
      <c r="H364" s="1">
        <v>0</v>
      </c>
      <c r="I364" s="1">
        <v>0</v>
      </c>
      <c r="J364" s="7">
        <f t="shared" si="31"/>
        <v>0</v>
      </c>
      <c r="K364" s="1">
        <f t="shared" si="32"/>
        <v>0</v>
      </c>
      <c r="L364" s="13" t="str">
        <f t="shared" si="33"/>
        <v/>
      </c>
      <c r="M364" s="1">
        <v>0</v>
      </c>
      <c r="N364" s="1">
        <v>144762.430550208</v>
      </c>
      <c r="O364" t="str">
        <f t="shared" si="34"/>
        <v>Injector</v>
      </c>
      <c r="P364" s="15">
        <f t="shared" si="35"/>
        <v>0.98634259722222217</v>
      </c>
    </row>
    <row r="365" spans="1:16" x14ac:dyDescent="0.35">
      <c r="A365" t="s">
        <v>6</v>
      </c>
      <c r="B365">
        <v>5693</v>
      </c>
      <c r="C365">
        <v>2012</v>
      </c>
      <c r="D365">
        <v>7</v>
      </c>
      <c r="E365" s="6">
        <f t="shared" si="30"/>
        <v>41091</v>
      </c>
      <c r="F365" s="1">
        <v>744</v>
      </c>
      <c r="G365" s="1">
        <v>0</v>
      </c>
      <c r="H365" s="1">
        <v>0</v>
      </c>
      <c r="I365" s="1">
        <v>0</v>
      </c>
      <c r="J365" s="7">
        <f t="shared" si="31"/>
        <v>0</v>
      </c>
      <c r="K365" s="1">
        <f t="shared" si="32"/>
        <v>0</v>
      </c>
      <c r="L365" s="13" t="str">
        <f t="shared" si="33"/>
        <v/>
      </c>
      <c r="M365" s="1">
        <v>0</v>
      </c>
      <c r="N365" s="1">
        <v>150430.98628000001</v>
      </c>
      <c r="O365" t="str">
        <f t="shared" si="34"/>
        <v>Injector</v>
      </c>
      <c r="P365" s="15">
        <f t="shared" si="35"/>
        <v>1</v>
      </c>
    </row>
    <row r="366" spans="1:16" x14ac:dyDescent="0.35">
      <c r="A366" t="s">
        <v>6</v>
      </c>
      <c r="B366">
        <v>5693</v>
      </c>
      <c r="C366">
        <v>2012</v>
      </c>
      <c r="D366">
        <v>8</v>
      </c>
      <c r="E366" s="6">
        <f t="shared" si="30"/>
        <v>41122</v>
      </c>
      <c r="F366" s="1">
        <v>292.125</v>
      </c>
      <c r="G366" s="1">
        <v>0</v>
      </c>
      <c r="H366" s="1">
        <v>0</v>
      </c>
      <c r="I366" s="1">
        <v>0</v>
      </c>
      <c r="J366" s="7">
        <f t="shared" si="31"/>
        <v>0</v>
      </c>
      <c r="K366" s="1">
        <f t="shared" si="32"/>
        <v>0</v>
      </c>
      <c r="L366" s="13" t="str">
        <f t="shared" si="33"/>
        <v/>
      </c>
      <c r="M366" s="1">
        <v>0</v>
      </c>
      <c r="N366" s="1">
        <v>58172.374618958303</v>
      </c>
      <c r="O366" t="str">
        <f t="shared" si="34"/>
        <v>Injector</v>
      </c>
      <c r="P366" s="15">
        <f t="shared" si="35"/>
        <v>0.39264112903225806</v>
      </c>
    </row>
    <row r="367" spans="1:16" x14ac:dyDescent="0.35">
      <c r="A367" t="s">
        <v>6</v>
      </c>
      <c r="B367">
        <v>5693</v>
      </c>
      <c r="C367">
        <v>2012</v>
      </c>
      <c r="D367">
        <v>9</v>
      </c>
      <c r="E367" s="6">
        <f t="shared" si="30"/>
        <v>41153</v>
      </c>
      <c r="F367" s="1">
        <v>31.658329999999999</v>
      </c>
      <c r="G367" s="1">
        <v>0</v>
      </c>
      <c r="H367" s="1">
        <v>0</v>
      </c>
      <c r="I367" s="1">
        <v>0</v>
      </c>
      <c r="J367" s="7">
        <f t="shared" si="31"/>
        <v>0</v>
      </c>
      <c r="K367" s="1">
        <f t="shared" si="32"/>
        <v>0</v>
      </c>
      <c r="L367" s="13" t="str">
        <f t="shared" si="33"/>
        <v/>
      </c>
      <c r="M367" s="1">
        <v>0</v>
      </c>
      <c r="N367" s="1">
        <v>6025.0077433333299</v>
      </c>
      <c r="O367" t="str">
        <f t="shared" si="34"/>
        <v>Injector</v>
      </c>
      <c r="P367" s="15">
        <f t="shared" si="35"/>
        <v>4.3969902777777778E-2</v>
      </c>
    </row>
    <row r="368" spans="1:16" x14ac:dyDescent="0.35">
      <c r="A368" t="s">
        <v>6</v>
      </c>
      <c r="B368">
        <v>5693</v>
      </c>
      <c r="C368">
        <v>2012</v>
      </c>
      <c r="D368">
        <v>10</v>
      </c>
      <c r="E368" s="6">
        <f t="shared" si="30"/>
        <v>41183</v>
      </c>
      <c r="F368" s="1">
        <v>507.99164999999999</v>
      </c>
      <c r="G368" s="1">
        <v>0</v>
      </c>
      <c r="H368" s="1">
        <v>0</v>
      </c>
      <c r="I368" s="1">
        <v>0</v>
      </c>
      <c r="J368" s="7">
        <f t="shared" si="31"/>
        <v>0</v>
      </c>
      <c r="K368" s="1">
        <f t="shared" si="32"/>
        <v>0</v>
      </c>
      <c r="L368" s="13" t="str">
        <f t="shared" si="33"/>
        <v/>
      </c>
      <c r="M368" s="1">
        <v>0</v>
      </c>
      <c r="N368" s="1">
        <v>110449.68220083301</v>
      </c>
      <c r="O368" t="str">
        <f t="shared" si="34"/>
        <v>Injector</v>
      </c>
      <c r="P368" s="15">
        <f t="shared" si="35"/>
        <v>0.68278447580645163</v>
      </c>
    </row>
    <row r="369" spans="1:16" x14ac:dyDescent="0.35">
      <c r="A369" t="s">
        <v>6</v>
      </c>
      <c r="B369">
        <v>5693</v>
      </c>
      <c r="C369">
        <v>2012</v>
      </c>
      <c r="D369">
        <v>11</v>
      </c>
      <c r="E369" s="6">
        <f t="shared" si="30"/>
        <v>41214</v>
      </c>
      <c r="F369" s="1">
        <v>720</v>
      </c>
      <c r="G369" s="1">
        <v>0</v>
      </c>
      <c r="H369" s="1">
        <v>0</v>
      </c>
      <c r="I369" s="1">
        <v>0</v>
      </c>
      <c r="J369" s="7">
        <f t="shared" si="31"/>
        <v>0</v>
      </c>
      <c r="K369" s="1">
        <f t="shared" si="32"/>
        <v>0</v>
      </c>
      <c r="L369" s="13" t="str">
        <f t="shared" si="33"/>
        <v/>
      </c>
      <c r="M369" s="1">
        <v>0</v>
      </c>
      <c r="N369" s="1">
        <v>162488.446784167</v>
      </c>
      <c r="O369" t="str">
        <f t="shared" si="34"/>
        <v>Injector</v>
      </c>
      <c r="P369" s="15">
        <f t="shared" si="35"/>
        <v>1</v>
      </c>
    </row>
    <row r="370" spans="1:16" x14ac:dyDescent="0.35">
      <c r="A370" t="s">
        <v>6</v>
      </c>
      <c r="B370">
        <v>5693</v>
      </c>
      <c r="C370">
        <v>2012</v>
      </c>
      <c r="D370">
        <v>12</v>
      </c>
      <c r="E370" s="6">
        <f t="shared" si="30"/>
        <v>41244</v>
      </c>
      <c r="F370" s="1">
        <v>698.50000999999997</v>
      </c>
      <c r="G370" s="1">
        <v>0</v>
      </c>
      <c r="H370" s="1">
        <v>0</v>
      </c>
      <c r="I370" s="1">
        <v>0</v>
      </c>
      <c r="J370" s="7">
        <f t="shared" si="31"/>
        <v>0</v>
      </c>
      <c r="K370" s="1">
        <f t="shared" si="32"/>
        <v>0</v>
      </c>
      <c r="L370" s="13" t="str">
        <f t="shared" si="33"/>
        <v/>
      </c>
      <c r="M370" s="1">
        <v>0</v>
      </c>
      <c r="N370" s="1">
        <v>144569.261914792</v>
      </c>
      <c r="O370" t="str">
        <f t="shared" si="34"/>
        <v>Injector</v>
      </c>
      <c r="P370" s="15">
        <f t="shared" si="35"/>
        <v>0.93884409946236558</v>
      </c>
    </row>
    <row r="371" spans="1:16" x14ac:dyDescent="0.35">
      <c r="A371" t="s">
        <v>6</v>
      </c>
      <c r="B371">
        <v>5693</v>
      </c>
      <c r="C371">
        <v>2013</v>
      </c>
      <c r="D371">
        <v>1</v>
      </c>
      <c r="E371" s="6">
        <f t="shared" si="30"/>
        <v>41275</v>
      </c>
      <c r="F371" s="1">
        <v>734.25000999999997</v>
      </c>
      <c r="G371" s="1">
        <v>0</v>
      </c>
      <c r="H371" s="1">
        <v>0</v>
      </c>
      <c r="I371" s="1">
        <v>0</v>
      </c>
      <c r="J371" s="7">
        <f t="shared" si="31"/>
        <v>0</v>
      </c>
      <c r="K371" s="1">
        <f t="shared" si="32"/>
        <v>0</v>
      </c>
      <c r="L371" s="13" t="str">
        <f t="shared" si="33"/>
        <v/>
      </c>
      <c r="M371" s="1">
        <v>0</v>
      </c>
      <c r="N371" s="1">
        <v>155627.70428812501</v>
      </c>
      <c r="O371" t="str">
        <f t="shared" si="34"/>
        <v>Injector</v>
      </c>
      <c r="P371" s="15">
        <f t="shared" si="35"/>
        <v>0.98689517473118271</v>
      </c>
    </row>
    <row r="372" spans="1:16" x14ac:dyDescent="0.35">
      <c r="A372" t="s">
        <v>6</v>
      </c>
      <c r="B372">
        <v>5693</v>
      </c>
      <c r="C372">
        <v>2013</v>
      </c>
      <c r="D372">
        <v>2</v>
      </c>
      <c r="E372" s="6">
        <f t="shared" si="30"/>
        <v>41306</v>
      </c>
      <c r="F372" s="1">
        <v>672</v>
      </c>
      <c r="G372" s="1">
        <v>0</v>
      </c>
      <c r="H372" s="1">
        <v>0</v>
      </c>
      <c r="I372" s="1">
        <v>0</v>
      </c>
      <c r="J372" s="7">
        <f t="shared" si="31"/>
        <v>0</v>
      </c>
      <c r="K372" s="1">
        <f t="shared" si="32"/>
        <v>0</v>
      </c>
      <c r="L372" s="13" t="str">
        <f t="shared" si="33"/>
        <v/>
      </c>
      <c r="M372" s="1">
        <v>0</v>
      </c>
      <c r="N372" s="1">
        <v>138901.75542999999</v>
      </c>
      <c r="O372" t="str">
        <f t="shared" si="34"/>
        <v>Injector</v>
      </c>
      <c r="P372" s="15">
        <f t="shared" si="35"/>
        <v>1</v>
      </c>
    </row>
    <row r="373" spans="1:16" x14ac:dyDescent="0.35">
      <c r="A373" t="s">
        <v>6</v>
      </c>
      <c r="B373">
        <v>5693</v>
      </c>
      <c r="C373">
        <v>2013</v>
      </c>
      <c r="D373">
        <v>3</v>
      </c>
      <c r="E373" s="6">
        <f t="shared" si="30"/>
        <v>41334</v>
      </c>
      <c r="F373" s="1">
        <v>483.35167999999999</v>
      </c>
      <c r="G373" s="1">
        <v>0</v>
      </c>
      <c r="H373" s="1">
        <v>0</v>
      </c>
      <c r="I373" s="1">
        <v>0</v>
      </c>
      <c r="J373" s="7">
        <f t="shared" si="31"/>
        <v>0</v>
      </c>
      <c r="K373" s="1">
        <f t="shared" si="32"/>
        <v>0</v>
      </c>
      <c r="L373" s="13" t="str">
        <f t="shared" si="33"/>
        <v/>
      </c>
      <c r="M373" s="1">
        <v>0</v>
      </c>
      <c r="N373" s="1">
        <v>96659.952466250004</v>
      </c>
      <c r="O373" t="str">
        <f t="shared" si="34"/>
        <v>Injector</v>
      </c>
      <c r="P373" s="15">
        <f t="shared" si="35"/>
        <v>0.6496662365591398</v>
      </c>
    </row>
    <row r="374" spans="1:16" x14ac:dyDescent="0.35">
      <c r="A374" t="s">
        <v>6</v>
      </c>
      <c r="B374">
        <v>5693</v>
      </c>
      <c r="C374">
        <v>2013</v>
      </c>
      <c r="D374">
        <v>4</v>
      </c>
      <c r="E374" s="6">
        <f t="shared" si="30"/>
        <v>41365</v>
      </c>
      <c r="F374" s="1">
        <v>563.50333000000001</v>
      </c>
      <c r="G374" s="1">
        <v>0</v>
      </c>
      <c r="H374" s="1">
        <v>0</v>
      </c>
      <c r="I374" s="1">
        <v>0</v>
      </c>
      <c r="J374" s="7">
        <f t="shared" si="31"/>
        <v>0</v>
      </c>
      <c r="K374" s="1">
        <f t="shared" si="32"/>
        <v>0</v>
      </c>
      <c r="L374" s="13" t="str">
        <f t="shared" si="33"/>
        <v/>
      </c>
      <c r="M374" s="1">
        <v>0</v>
      </c>
      <c r="N374" s="1">
        <v>116028.21117708299</v>
      </c>
      <c r="O374" t="str">
        <f t="shared" si="34"/>
        <v>Injector</v>
      </c>
      <c r="P374" s="15">
        <f t="shared" si="35"/>
        <v>0.78264351388888886</v>
      </c>
    </row>
    <row r="375" spans="1:16" x14ac:dyDescent="0.35">
      <c r="A375" t="s">
        <v>6</v>
      </c>
      <c r="B375">
        <v>5693</v>
      </c>
      <c r="C375">
        <v>2013</v>
      </c>
      <c r="D375">
        <v>5</v>
      </c>
      <c r="E375" s="6">
        <f t="shared" si="30"/>
        <v>41395</v>
      </c>
      <c r="F375" s="1">
        <v>681.80001000000004</v>
      </c>
      <c r="G375" s="1">
        <v>0</v>
      </c>
      <c r="H375" s="1">
        <v>0</v>
      </c>
      <c r="I375" s="1">
        <v>0</v>
      </c>
      <c r="J375" s="7">
        <f t="shared" si="31"/>
        <v>0</v>
      </c>
      <c r="K375" s="1">
        <f t="shared" si="32"/>
        <v>0</v>
      </c>
      <c r="L375" s="13" t="str">
        <f t="shared" si="33"/>
        <v/>
      </c>
      <c r="M375" s="1">
        <v>0</v>
      </c>
      <c r="N375" s="1">
        <v>156535.02406208299</v>
      </c>
      <c r="O375" t="str">
        <f t="shared" si="34"/>
        <v>Injector</v>
      </c>
      <c r="P375" s="15">
        <f t="shared" si="35"/>
        <v>0.91639786290322589</v>
      </c>
    </row>
    <row r="376" spans="1:16" x14ac:dyDescent="0.35">
      <c r="A376" t="s">
        <v>6</v>
      </c>
      <c r="B376">
        <v>5693</v>
      </c>
      <c r="C376">
        <v>2013</v>
      </c>
      <c r="D376">
        <v>6</v>
      </c>
      <c r="E376" s="6">
        <f t="shared" si="30"/>
        <v>41426</v>
      </c>
      <c r="F376" s="1">
        <v>573.33333000000005</v>
      </c>
      <c r="G376" s="1">
        <v>0</v>
      </c>
      <c r="H376" s="1">
        <v>0</v>
      </c>
      <c r="I376" s="1">
        <v>0</v>
      </c>
      <c r="J376" s="7">
        <f t="shared" si="31"/>
        <v>0</v>
      </c>
      <c r="K376" s="1">
        <f t="shared" si="32"/>
        <v>0</v>
      </c>
      <c r="L376" s="13" t="str">
        <f t="shared" si="33"/>
        <v/>
      </c>
      <c r="M376" s="1">
        <v>0</v>
      </c>
      <c r="N376" s="1">
        <v>132162.427204167</v>
      </c>
      <c r="O376" t="str">
        <f t="shared" si="34"/>
        <v>Injector</v>
      </c>
      <c r="P376" s="15">
        <f t="shared" si="35"/>
        <v>0.79629629166666671</v>
      </c>
    </row>
    <row r="377" spans="1:16" x14ac:dyDescent="0.35">
      <c r="A377" t="s">
        <v>6</v>
      </c>
      <c r="B377">
        <v>5693</v>
      </c>
      <c r="C377">
        <v>2013</v>
      </c>
      <c r="D377">
        <v>7</v>
      </c>
      <c r="E377" s="6">
        <f t="shared" si="30"/>
        <v>41456</v>
      </c>
      <c r="F377" s="1">
        <v>652.70833000000005</v>
      </c>
      <c r="G377" s="1">
        <v>0</v>
      </c>
      <c r="H377" s="1">
        <v>0</v>
      </c>
      <c r="I377" s="1">
        <v>0</v>
      </c>
      <c r="J377" s="7">
        <f t="shared" si="31"/>
        <v>0</v>
      </c>
      <c r="K377" s="1">
        <f t="shared" si="32"/>
        <v>0</v>
      </c>
      <c r="L377" s="13" t="str">
        <f t="shared" si="33"/>
        <v/>
      </c>
      <c r="M377" s="1">
        <v>0</v>
      </c>
      <c r="N377" s="1">
        <v>133542.635932292</v>
      </c>
      <c r="O377" t="str">
        <f t="shared" si="34"/>
        <v>Injector</v>
      </c>
      <c r="P377" s="15">
        <f t="shared" si="35"/>
        <v>0.87729614247311838</v>
      </c>
    </row>
    <row r="378" spans="1:16" x14ac:dyDescent="0.35">
      <c r="A378" t="s">
        <v>6</v>
      </c>
      <c r="B378">
        <v>5693</v>
      </c>
      <c r="C378">
        <v>2013</v>
      </c>
      <c r="D378">
        <v>8</v>
      </c>
      <c r="E378" s="6">
        <f t="shared" si="30"/>
        <v>41487</v>
      </c>
      <c r="F378" s="1">
        <v>689.71666000000005</v>
      </c>
      <c r="G378" s="1">
        <v>0</v>
      </c>
      <c r="H378" s="1">
        <v>0</v>
      </c>
      <c r="I378" s="1">
        <v>0</v>
      </c>
      <c r="J378" s="7">
        <f t="shared" si="31"/>
        <v>0</v>
      </c>
      <c r="K378" s="1">
        <f t="shared" si="32"/>
        <v>0</v>
      </c>
      <c r="L378" s="13" t="str">
        <f t="shared" si="33"/>
        <v/>
      </c>
      <c r="M378" s="1">
        <v>0</v>
      </c>
      <c r="N378" s="1">
        <v>156070.85594812501</v>
      </c>
      <c r="O378" t="str">
        <f t="shared" si="34"/>
        <v>Injector</v>
      </c>
      <c r="P378" s="15">
        <f t="shared" si="35"/>
        <v>0.92703852150537636</v>
      </c>
    </row>
    <row r="379" spans="1:16" x14ac:dyDescent="0.35">
      <c r="A379" t="s">
        <v>6</v>
      </c>
      <c r="B379">
        <v>5693</v>
      </c>
      <c r="C379">
        <v>2013</v>
      </c>
      <c r="D379">
        <v>9</v>
      </c>
      <c r="E379" s="6">
        <f t="shared" si="30"/>
        <v>41518</v>
      </c>
      <c r="F379" s="1">
        <v>608.44167000000004</v>
      </c>
      <c r="G379" s="1">
        <v>0</v>
      </c>
      <c r="H379" s="1">
        <v>0</v>
      </c>
      <c r="I379" s="1">
        <v>0</v>
      </c>
      <c r="J379" s="7">
        <f t="shared" si="31"/>
        <v>0</v>
      </c>
      <c r="K379" s="1">
        <f t="shared" si="32"/>
        <v>0</v>
      </c>
      <c r="L379" s="13" t="str">
        <f t="shared" si="33"/>
        <v/>
      </c>
      <c r="M379" s="1">
        <v>0</v>
      </c>
      <c r="N379" s="1">
        <v>130322.732728125</v>
      </c>
      <c r="O379" t="str">
        <f t="shared" si="34"/>
        <v>Injector</v>
      </c>
      <c r="P379" s="15">
        <f t="shared" si="35"/>
        <v>0.84505787500000007</v>
      </c>
    </row>
    <row r="380" spans="1:16" x14ac:dyDescent="0.35">
      <c r="A380" t="s">
        <v>6</v>
      </c>
      <c r="B380">
        <v>5693</v>
      </c>
      <c r="C380">
        <v>2013</v>
      </c>
      <c r="D380">
        <v>10</v>
      </c>
      <c r="E380" s="6">
        <f t="shared" si="30"/>
        <v>41548</v>
      </c>
      <c r="F380" s="1">
        <v>650.41666999999995</v>
      </c>
      <c r="G380" s="1">
        <v>0</v>
      </c>
      <c r="H380" s="1">
        <v>0</v>
      </c>
      <c r="I380" s="1">
        <v>0</v>
      </c>
      <c r="J380" s="7">
        <f t="shared" si="31"/>
        <v>0</v>
      </c>
      <c r="K380" s="1">
        <f t="shared" si="32"/>
        <v>0</v>
      </c>
      <c r="L380" s="13" t="str">
        <f t="shared" si="33"/>
        <v/>
      </c>
      <c r="M380" s="1">
        <v>0</v>
      </c>
      <c r="N380" s="1">
        <v>144742.56787083301</v>
      </c>
      <c r="O380" t="str">
        <f t="shared" si="34"/>
        <v>Injector</v>
      </c>
      <c r="P380" s="15">
        <f t="shared" si="35"/>
        <v>0.87421595430107524</v>
      </c>
    </row>
    <row r="381" spans="1:16" x14ac:dyDescent="0.35">
      <c r="A381" t="s">
        <v>6</v>
      </c>
      <c r="B381">
        <v>5693</v>
      </c>
      <c r="C381">
        <v>2013</v>
      </c>
      <c r="D381">
        <v>11</v>
      </c>
      <c r="E381" s="6">
        <f t="shared" si="30"/>
        <v>41579</v>
      </c>
      <c r="F381" s="1">
        <v>682.33333000000005</v>
      </c>
      <c r="G381" s="1">
        <v>0</v>
      </c>
      <c r="H381" s="1">
        <v>0</v>
      </c>
      <c r="I381" s="1">
        <v>0</v>
      </c>
      <c r="J381" s="7">
        <f t="shared" si="31"/>
        <v>0</v>
      </c>
      <c r="K381" s="1">
        <f t="shared" si="32"/>
        <v>0</v>
      </c>
      <c r="L381" s="13" t="str">
        <f t="shared" si="33"/>
        <v/>
      </c>
      <c r="M381" s="1">
        <v>0</v>
      </c>
      <c r="N381" s="1">
        <v>155972.70506124999</v>
      </c>
      <c r="O381" t="str">
        <f t="shared" si="34"/>
        <v>Injector</v>
      </c>
      <c r="P381" s="15">
        <f t="shared" si="35"/>
        <v>0.94768518055555562</v>
      </c>
    </row>
    <row r="382" spans="1:16" x14ac:dyDescent="0.35">
      <c r="A382" t="s">
        <v>6</v>
      </c>
      <c r="B382">
        <v>5693</v>
      </c>
      <c r="C382">
        <v>2013</v>
      </c>
      <c r="D382">
        <v>12</v>
      </c>
      <c r="E382" s="6">
        <f t="shared" si="30"/>
        <v>41609</v>
      </c>
      <c r="F382" s="1">
        <v>676.24999000000003</v>
      </c>
      <c r="G382" s="1">
        <v>0</v>
      </c>
      <c r="H382" s="1">
        <v>0</v>
      </c>
      <c r="I382" s="1">
        <v>0</v>
      </c>
      <c r="J382" s="7">
        <f t="shared" si="31"/>
        <v>0</v>
      </c>
      <c r="K382" s="1">
        <f t="shared" si="32"/>
        <v>0</v>
      </c>
      <c r="L382" s="13" t="str">
        <f t="shared" si="33"/>
        <v/>
      </c>
      <c r="M382" s="1">
        <v>0</v>
      </c>
      <c r="N382" s="1">
        <v>148594.15725416699</v>
      </c>
      <c r="O382" t="str">
        <f t="shared" si="34"/>
        <v>Injector</v>
      </c>
      <c r="P382" s="15">
        <f t="shared" si="35"/>
        <v>0.90893815860215055</v>
      </c>
    </row>
    <row r="383" spans="1:16" x14ac:dyDescent="0.35">
      <c r="A383" t="s">
        <v>6</v>
      </c>
      <c r="B383">
        <v>5693</v>
      </c>
      <c r="C383">
        <v>2014</v>
      </c>
      <c r="D383">
        <v>1</v>
      </c>
      <c r="E383" s="6">
        <f t="shared" si="30"/>
        <v>41640</v>
      </c>
      <c r="F383" s="1">
        <v>682.08334000000002</v>
      </c>
      <c r="G383" s="1">
        <v>0</v>
      </c>
      <c r="H383" s="1">
        <v>0</v>
      </c>
      <c r="I383" s="1">
        <v>0</v>
      </c>
      <c r="J383" s="7">
        <f t="shared" si="31"/>
        <v>0</v>
      </c>
      <c r="K383" s="1">
        <f t="shared" si="32"/>
        <v>0</v>
      </c>
      <c r="L383" s="13" t="str">
        <f t="shared" si="33"/>
        <v/>
      </c>
      <c r="M383" s="1">
        <v>0</v>
      </c>
      <c r="N383" s="1">
        <v>147807.99611625</v>
      </c>
      <c r="O383" t="str">
        <f t="shared" si="34"/>
        <v>Injector</v>
      </c>
      <c r="P383" s="15">
        <f t="shared" si="35"/>
        <v>0.91677868279569896</v>
      </c>
    </row>
    <row r="384" spans="1:16" x14ac:dyDescent="0.35">
      <c r="A384" t="s">
        <v>6</v>
      </c>
      <c r="B384">
        <v>5693</v>
      </c>
      <c r="C384">
        <v>2014</v>
      </c>
      <c r="D384">
        <v>2</v>
      </c>
      <c r="E384" s="6">
        <f t="shared" si="30"/>
        <v>41671</v>
      </c>
      <c r="F384" s="1">
        <v>579.10500000000002</v>
      </c>
      <c r="G384" s="1">
        <v>0</v>
      </c>
      <c r="H384" s="1">
        <v>0</v>
      </c>
      <c r="I384" s="1">
        <v>0</v>
      </c>
      <c r="J384" s="7">
        <f t="shared" si="31"/>
        <v>0</v>
      </c>
      <c r="K384" s="1">
        <f t="shared" si="32"/>
        <v>0</v>
      </c>
      <c r="L384" s="13" t="str">
        <f t="shared" si="33"/>
        <v/>
      </c>
      <c r="M384" s="1">
        <v>0</v>
      </c>
      <c r="N384" s="1">
        <v>131023.21384</v>
      </c>
      <c r="O384" t="str">
        <f t="shared" si="34"/>
        <v>Injector</v>
      </c>
      <c r="P384" s="15">
        <f t="shared" si="35"/>
        <v>0.86176339285714287</v>
      </c>
    </row>
    <row r="385" spans="1:16" x14ac:dyDescent="0.35">
      <c r="A385" t="s">
        <v>6</v>
      </c>
      <c r="B385">
        <v>5693</v>
      </c>
      <c r="C385">
        <v>2014</v>
      </c>
      <c r="D385">
        <v>3</v>
      </c>
      <c r="E385" s="6">
        <f t="shared" si="30"/>
        <v>41699</v>
      </c>
      <c r="F385" s="1">
        <v>685.99999000000003</v>
      </c>
      <c r="G385" s="1">
        <v>0</v>
      </c>
      <c r="H385" s="1">
        <v>0</v>
      </c>
      <c r="I385" s="1">
        <v>0</v>
      </c>
      <c r="J385" s="7">
        <f t="shared" si="31"/>
        <v>0</v>
      </c>
      <c r="K385" s="1">
        <f t="shared" si="32"/>
        <v>0</v>
      </c>
      <c r="L385" s="13" t="str">
        <f t="shared" si="33"/>
        <v/>
      </c>
      <c r="M385" s="1">
        <v>0</v>
      </c>
      <c r="N385" s="1">
        <v>154097.211248687</v>
      </c>
      <c r="O385" t="str">
        <f t="shared" si="34"/>
        <v>Injector</v>
      </c>
      <c r="P385" s="15">
        <f t="shared" si="35"/>
        <v>0.92204299731182804</v>
      </c>
    </row>
    <row r="386" spans="1:16" x14ac:dyDescent="0.35">
      <c r="A386" t="s">
        <v>6</v>
      </c>
      <c r="B386">
        <v>5693</v>
      </c>
      <c r="C386">
        <v>2014</v>
      </c>
      <c r="D386">
        <v>4</v>
      </c>
      <c r="E386" s="6">
        <f t="shared" si="30"/>
        <v>41730</v>
      </c>
      <c r="F386" s="1">
        <v>707.54166999999995</v>
      </c>
      <c r="G386" s="1">
        <v>0</v>
      </c>
      <c r="H386" s="1">
        <v>0</v>
      </c>
      <c r="I386" s="1">
        <v>0</v>
      </c>
      <c r="J386" s="7">
        <f t="shared" si="31"/>
        <v>0</v>
      </c>
      <c r="K386" s="1">
        <f t="shared" si="32"/>
        <v>0</v>
      </c>
      <c r="L386" s="13" t="str">
        <f t="shared" si="33"/>
        <v/>
      </c>
      <c r="M386" s="1">
        <v>0</v>
      </c>
      <c r="N386" s="1">
        <v>185314.47003520801</v>
      </c>
      <c r="O386" t="str">
        <f t="shared" si="34"/>
        <v>Injector</v>
      </c>
      <c r="P386" s="15">
        <f t="shared" si="35"/>
        <v>0.98269676388888882</v>
      </c>
    </row>
    <row r="387" spans="1:16" x14ac:dyDescent="0.35">
      <c r="A387" t="s">
        <v>6</v>
      </c>
      <c r="B387">
        <v>5693</v>
      </c>
      <c r="C387">
        <v>2014</v>
      </c>
      <c r="D387">
        <v>5</v>
      </c>
      <c r="E387" s="6">
        <f t="shared" ref="E387:E450" si="36">DATE(C387, D387, 1)</f>
        <v>41760</v>
      </c>
      <c r="F387" s="1">
        <v>606.33334000000002</v>
      </c>
      <c r="G387" s="1">
        <v>0</v>
      </c>
      <c r="H387" s="1">
        <v>0</v>
      </c>
      <c r="I387" s="1">
        <v>0</v>
      </c>
      <c r="J387" s="7">
        <f t="shared" ref="J387:J450" si="37">IF(F387&gt;0,G387/(F387/24),"")</f>
        <v>0</v>
      </c>
      <c r="K387" s="1">
        <f t="shared" ref="K387:K450" si="38">+J387</f>
        <v>0</v>
      </c>
      <c r="L387" s="13" t="str">
        <f t="shared" ref="L387:L450" si="39">+IF((G387+I387)&gt;0,I387/(G387+I387),"")</f>
        <v/>
      </c>
      <c r="M387" s="1">
        <v>0</v>
      </c>
      <c r="N387" s="1">
        <v>156189.17630393201</v>
      </c>
      <c r="O387" t="str">
        <f t="shared" ref="O387:O450" si="40">IF(F387&gt;0,IF(N(N387)&gt;0,"Injector",IF(N(G387)&gt;0,"Producer","Inactive")),"No production")</f>
        <v>Injector</v>
      </c>
      <c r="P387" s="15">
        <f t="shared" ref="P387:P450" si="41">+IF(F387&gt;0,F387/(DAY(EOMONTH(E387,0))*24),"")</f>
        <v>0.81496416666666671</v>
      </c>
    </row>
    <row r="388" spans="1:16" x14ac:dyDescent="0.35">
      <c r="A388" t="s">
        <v>6</v>
      </c>
      <c r="B388">
        <v>5693</v>
      </c>
      <c r="C388">
        <v>2014</v>
      </c>
      <c r="D388">
        <v>6</v>
      </c>
      <c r="E388" s="6">
        <f t="shared" si="36"/>
        <v>41791</v>
      </c>
      <c r="F388" s="1">
        <v>697.99643000000003</v>
      </c>
      <c r="G388" s="1">
        <v>0</v>
      </c>
      <c r="H388" s="1">
        <v>0</v>
      </c>
      <c r="I388" s="1">
        <v>0</v>
      </c>
      <c r="J388" s="7">
        <f t="shared" si="37"/>
        <v>0</v>
      </c>
      <c r="K388" s="1">
        <f t="shared" si="38"/>
        <v>0</v>
      </c>
      <c r="L388" s="13" t="str">
        <f t="shared" si="39"/>
        <v/>
      </c>
      <c r="M388" s="1">
        <v>0</v>
      </c>
      <c r="N388" s="1">
        <v>202240.55791249999</v>
      </c>
      <c r="O388" t="str">
        <f t="shared" si="40"/>
        <v>Injector</v>
      </c>
      <c r="P388" s="15">
        <f t="shared" si="41"/>
        <v>0.96943948611111119</v>
      </c>
    </row>
    <row r="389" spans="1:16" x14ac:dyDescent="0.35">
      <c r="A389" t="s">
        <v>6</v>
      </c>
      <c r="B389">
        <v>5693</v>
      </c>
      <c r="C389">
        <v>2014</v>
      </c>
      <c r="D389">
        <v>7</v>
      </c>
      <c r="E389" s="6">
        <f t="shared" si="36"/>
        <v>41821</v>
      </c>
      <c r="F389" s="1">
        <v>742.16666999999995</v>
      </c>
      <c r="G389" s="1">
        <v>0</v>
      </c>
      <c r="H389" s="1">
        <v>0</v>
      </c>
      <c r="I389" s="1">
        <v>0</v>
      </c>
      <c r="J389" s="7">
        <f t="shared" si="37"/>
        <v>0</v>
      </c>
      <c r="K389" s="1">
        <f t="shared" si="38"/>
        <v>0</v>
      </c>
      <c r="L389" s="13" t="str">
        <f t="shared" si="39"/>
        <v/>
      </c>
      <c r="M389" s="1">
        <v>0</v>
      </c>
      <c r="N389" s="1">
        <v>226583.879235</v>
      </c>
      <c r="O389" t="str">
        <f t="shared" si="40"/>
        <v>Injector</v>
      </c>
      <c r="P389" s="15">
        <f t="shared" si="41"/>
        <v>0.99753584677419349</v>
      </c>
    </row>
    <row r="390" spans="1:16" x14ac:dyDescent="0.35">
      <c r="A390" t="s">
        <v>6</v>
      </c>
      <c r="B390">
        <v>5693</v>
      </c>
      <c r="C390">
        <v>2014</v>
      </c>
      <c r="D390">
        <v>8</v>
      </c>
      <c r="E390" s="6">
        <f t="shared" si="36"/>
        <v>41852</v>
      </c>
      <c r="F390" s="1">
        <v>607.30001000000004</v>
      </c>
      <c r="G390" s="1">
        <v>0</v>
      </c>
      <c r="H390" s="1">
        <v>0</v>
      </c>
      <c r="I390" s="1">
        <v>0</v>
      </c>
      <c r="J390" s="7">
        <f t="shared" si="37"/>
        <v>0</v>
      </c>
      <c r="K390" s="1">
        <f t="shared" si="38"/>
        <v>0</v>
      </c>
      <c r="L390" s="13" t="str">
        <f t="shared" si="39"/>
        <v/>
      </c>
      <c r="M390" s="1">
        <v>0</v>
      </c>
      <c r="N390" s="1">
        <v>184109.826053542</v>
      </c>
      <c r="O390" t="str">
        <f t="shared" si="40"/>
        <v>Injector</v>
      </c>
      <c r="P390" s="15">
        <f t="shared" si="41"/>
        <v>0.81626345430107528</v>
      </c>
    </row>
    <row r="391" spans="1:16" x14ac:dyDescent="0.35">
      <c r="A391" t="s">
        <v>6</v>
      </c>
      <c r="B391">
        <v>5693</v>
      </c>
      <c r="C391">
        <v>2014</v>
      </c>
      <c r="D391">
        <v>9</v>
      </c>
      <c r="E391" s="6">
        <f t="shared" si="36"/>
        <v>41883</v>
      </c>
      <c r="F391" s="1">
        <v>693.33333000000005</v>
      </c>
      <c r="G391" s="1">
        <v>0</v>
      </c>
      <c r="H391" s="1">
        <v>0</v>
      </c>
      <c r="I391" s="1">
        <v>0</v>
      </c>
      <c r="J391" s="7">
        <f t="shared" si="37"/>
        <v>0</v>
      </c>
      <c r="K391" s="1">
        <f t="shared" si="38"/>
        <v>0</v>
      </c>
      <c r="L391" s="13" t="str">
        <f t="shared" si="39"/>
        <v/>
      </c>
      <c r="M391" s="1">
        <v>0</v>
      </c>
      <c r="N391" s="1">
        <v>199867.76395625001</v>
      </c>
      <c r="O391" t="str">
        <f t="shared" si="40"/>
        <v>Injector</v>
      </c>
      <c r="P391" s="15">
        <f t="shared" si="41"/>
        <v>0.96296295833333345</v>
      </c>
    </row>
    <row r="392" spans="1:16" x14ac:dyDescent="0.35">
      <c r="A392" t="s">
        <v>6</v>
      </c>
      <c r="B392">
        <v>5693</v>
      </c>
      <c r="C392">
        <v>2014</v>
      </c>
      <c r="D392">
        <v>10</v>
      </c>
      <c r="E392" s="6">
        <f t="shared" si="36"/>
        <v>41913</v>
      </c>
      <c r="F392" s="1">
        <v>742.33334000000002</v>
      </c>
      <c r="G392" s="1">
        <v>0</v>
      </c>
      <c r="H392" s="1">
        <v>0</v>
      </c>
      <c r="I392" s="1">
        <v>0</v>
      </c>
      <c r="J392" s="7">
        <f t="shared" si="37"/>
        <v>0</v>
      </c>
      <c r="K392" s="1">
        <f t="shared" si="38"/>
        <v>0</v>
      </c>
      <c r="L392" s="13" t="str">
        <f t="shared" si="39"/>
        <v/>
      </c>
      <c r="M392" s="1">
        <v>0</v>
      </c>
      <c r="N392" s="1">
        <v>219621.85870388299</v>
      </c>
      <c r="O392" t="str">
        <f t="shared" si="40"/>
        <v>Injector</v>
      </c>
      <c r="P392" s="15">
        <f t="shared" si="41"/>
        <v>0.99775986559139784</v>
      </c>
    </row>
    <row r="393" spans="1:16" x14ac:dyDescent="0.35">
      <c r="A393" t="s">
        <v>6</v>
      </c>
      <c r="B393">
        <v>5693</v>
      </c>
      <c r="C393">
        <v>2014</v>
      </c>
      <c r="D393">
        <v>11</v>
      </c>
      <c r="E393" s="6">
        <f t="shared" si="36"/>
        <v>41944</v>
      </c>
      <c r="F393" s="1">
        <v>619.88333</v>
      </c>
      <c r="G393" s="1">
        <v>0</v>
      </c>
      <c r="H393" s="1">
        <v>0</v>
      </c>
      <c r="I393" s="1">
        <v>0</v>
      </c>
      <c r="J393" s="7">
        <f t="shared" si="37"/>
        <v>0</v>
      </c>
      <c r="K393" s="1">
        <f t="shared" si="38"/>
        <v>0</v>
      </c>
      <c r="L393" s="13" t="str">
        <f t="shared" si="39"/>
        <v/>
      </c>
      <c r="M393" s="1">
        <v>0</v>
      </c>
      <c r="N393" s="1">
        <v>166856.737742917</v>
      </c>
      <c r="O393" t="str">
        <f t="shared" si="40"/>
        <v>Injector</v>
      </c>
      <c r="P393" s="15">
        <f t="shared" si="41"/>
        <v>0.86094906944444449</v>
      </c>
    </row>
    <row r="394" spans="1:16" x14ac:dyDescent="0.35">
      <c r="A394" t="s">
        <v>6</v>
      </c>
      <c r="B394">
        <v>5693</v>
      </c>
      <c r="C394">
        <v>2014</v>
      </c>
      <c r="D394">
        <v>12</v>
      </c>
      <c r="E394" s="6">
        <f t="shared" si="36"/>
        <v>41974</v>
      </c>
      <c r="F394" s="1">
        <v>292.05833000000001</v>
      </c>
      <c r="G394" s="1">
        <v>0</v>
      </c>
      <c r="H394" s="1">
        <v>0</v>
      </c>
      <c r="I394" s="1">
        <v>0</v>
      </c>
      <c r="J394" s="7">
        <f t="shared" si="37"/>
        <v>0</v>
      </c>
      <c r="K394" s="1">
        <f t="shared" si="38"/>
        <v>0</v>
      </c>
      <c r="L394" s="13" t="str">
        <f t="shared" si="39"/>
        <v/>
      </c>
      <c r="M394" s="1">
        <v>0</v>
      </c>
      <c r="N394" s="1">
        <v>66671.231681250007</v>
      </c>
      <c r="O394" t="str">
        <f t="shared" si="40"/>
        <v>Injector</v>
      </c>
      <c r="P394" s="15">
        <f t="shared" si="41"/>
        <v>0.39255151881720429</v>
      </c>
    </row>
    <row r="395" spans="1:16" x14ac:dyDescent="0.35">
      <c r="A395" t="s">
        <v>6</v>
      </c>
      <c r="B395">
        <v>5693</v>
      </c>
      <c r="C395">
        <v>2015</v>
      </c>
      <c r="D395">
        <v>1</v>
      </c>
      <c r="E395" s="6">
        <f t="shared" si="36"/>
        <v>42005</v>
      </c>
      <c r="F395" s="1">
        <v>675.88333999999998</v>
      </c>
      <c r="G395" s="1">
        <v>0</v>
      </c>
      <c r="H395" s="1">
        <v>0</v>
      </c>
      <c r="I395" s="1">
        <v>0</v>
      </c>
      <c r="J395" s="7">
        <f t="shared" si="37"/>
        <v>0</v>
      </c>
      <c r="K395" s="1">
        <f t="shared" si="38"/>
        <v>0</v>
      </c>
      <c r="L395" s="13" t="str">
        <f t="shared" si="39"/>
        <v/>
      </c>
      <c r="M395" s="1">
        <v>0</v>
      </c>
      <c r="N395" s="1">
        <v>81160.899210208299</v>
      </c>
      <c r="O395" t="str">
        <f t="shared" si="40"/>
        <v>Injector</v>
      </c>
      <c r="P395" s="15">
        <f t="shared" si="41"/>
        <v>0.90844534946236555</v>
      </c>
    </row>
    <row r="396" spans="1:16" x14ac:dyDescent="0.35">
      <c r="A396" t="s">
        <v>6</v>
      </c>
      <c r="B396">
        <v>5693</v>
      </c>
      <c r="C396">
        <v>2015</v>
      </c>
      <c r="D396">
        <v>2</v>
      </c>
      <c r="E396" s="6">
        <f t="shared" si="36"/>
        <v>42036</v>
      </c>
      <c r="F396" s="1">
        <v>588.88333999999998</v>
      </c>
      <c r="G396" s="1">
        <v>0</v>
      </c>
      <c r="H396" s="1">
        <v>0</v>
      </c>
      <c r="I396" s="1">
        <v>0</v>
      </c>
      <c r="J396" s="7">
        <f t="shared" si="37"/>
        <v>0</v>
      </c>
      <c r="K396" s="1">
        <f t="shared" si="38"/>
        <v>0</v>
      </c>
      <c r="L396" s="13" t="str">
        <f t="shared" si="39"/>
        <v/>
      </c>
      <c r="M396" s="1">
        <v>0</v>
      </c>
      <c r="N396" s="1">
        <v>126376.884487292</v>
      </c>
      <c r="O396" t="str">
        <f t="shared" si="40"/>
        <v>Injector</v>
      </c>
      <c r="P396" s="15">
        <f t="shared" si="41"/>
        <v>0.87631449404761896</v>
      </c>
    </row>
    <row r="397" spans="1:16" x14ac:dyDescent="0.35">
      <c r="A397" t="s">
        <v>6</v>
      </c>
      <c r="B397">
        <v>5693</v>
      </c>
      <c r="C397">
        <v>2015</v>
      </c>
      <c r="D397">
        <v>3</v>
      </c>
      <c r="E397" s="6">
        <f t="shared" si="36"/>
        <v>42064</v>
      </c>
      <c r="F397" s="1">
        <v>744</v>
      </c>
      <c r="G397" s="1">
        <v>0</v>
      </c>
      <c r="H397" s="1">
        <v>0</v>
      </c>
      <c r="I397" s="1">
        <v>0</v>
      </c>
      <c r="J397" s="7">
        <f t="shared" si="37"/>
        <v>0</v>
      </c>
      <c r="K397" s="1">
        <f t="shared" si="38"/>
        <v>0</v>
      </c>
      <c r="L397" s="13" t="str">
        <f t="shared" si="39"/>
        <v/>
      </c>
      <c r="M397" s="1">
        <v>0</v>
      </c>
      <c r="N397" s="1">
        <v>137054.803790462</v>
      </c>
      <c r="O397" t="str">
        <f t="shared" si="40"/>
        <v>Injector</v>
      </c>
      <c r="P397" s="15">
        <f t="shared" si="41"/>
        <v>1</v>
      </c>
    </row>
    <row r="398" spans="1:16" x14ac:dyDescent="0.35">
      <c r="A398" t="s">
        <v>6</v>
      </c>
      <c r="B398">
        <v>5693</v>
      </c>
      <c r="C398">
        <v>2015</v>
      </c>
      <c r="D398">
        <v>4</v>
      </c>
      <c r="E398" s="6">
        <f t="shared" si="36"/>
        <v>42095</v>
      </c>
      <c r="F398" s="1">
        <v>707.66666999999995</v>
      </c>
      <c r="G398" s="1">
        <v>0</v>
      </c>
      <c r="H398" s="1">
        <v>0</v>
      </c>
      <c r="I398" s="1">
        <v>0</v>
      </c>
      <c r="J398" s="7">
        <f t="shared" si="37"/>
        <v>0</v>
      </c>
      <c r="K398" s="1">
        <f t="shared" si="38"/>
        <v>0</v>
      </c>
      <c r="L398" s="13" t="str">
        <f t="shared" si="39"/>
        <v/>
      </c>
      <c r="M398" s="1">
        <v>0</v>
      </c>
      <c r="N398" s="1">
        <v>143683.084076667</v>
      </c>
      <c r="O398" t="str">
        <f t="shared" si="40"/>
        <v>Injector</v>
      </c>
      <c r="P398" s="15">
        <f t="shared" si="41"/>
        <v>0.98287037499999996</v>
      </c>
    </row>
    <row r="399" spans="1:16" x14ac:dyDescent="0.35">
      <c r="A399" t="s">
        <v>6</v>
      </c>
      <c r="B399">
        <v>5693</v>
      </c>
      <c r="C399">
        <v>2015</v>
      </c>
      <c r="D399">
        <v>5</v>
      </c>
      <c r="E399" s="6">
        <f t="shared" si="36"/>
        <v>42125</v>
      </c>
      <c r="F399" s="1">
        <v>744</v>
      </c>
      <c r="G399" s="1">
        <v>0</v>
      </c>
      <c r="H399" s="1">
        <v>0</v>
      </c>
      <c r="I399" s="1">
        <v>0</v>
      </c>
      <c r="J399" s="7">
        <f t="shared" si="37"/>
        <v>0</v>
      </c>
      <c r="K399" s="1">
        <f t="shared" si="38"/>
        <v>0</v>
      </c>
      <c r="L399" s="13" t="str">
        <f t="shared" si="39"/>
        <v/>
      </c>
      <c r="M399" s="1">
        <v>0</v>
      </c>
      <c r="N399" s="1">
        <v>128648.16757999999</v>
      </c>
      <c r="O399" t="str">
        <f t="shared" si="40"/>
        <v>Injector</v>
      </c>
      <c r="P399" s="15">
        <f t="shared" si="41"/>
        <v>1</v>
      </c>
    </row>
    <row r="400" spans="1:16" x14ac:dyDescent="0.35">
      <c r="A400" t="s">
        <v>6</v>
      </c>
      <c r="B400">
        <v>5693</v>
      </c>
      <c r="C400">
        <v>2015</v>
      </c>
      <c r="D400">
        <v>6</v>
      </c>
      <c r="E400" s="6">
        <f t="shared" si="36"/>
        <v>42156</v>
      </c>
      <c r="F400" s="1">
        <v>717.45</v>
      </c>
      <c r="G400" s="1">
        <v>0</v>
      </c>
      <c r="H400" s="1">
        <v>0</v>
      </c>
      <c r="I400" s="1">
        <v>0</v>
      </c>
      <c r="J400" s="7">
        <f t="shared" si="37"/>
        <v>0</v>
      </c>
      <c r="K400" s="1">
        <f t="shared" si="38"/>
        <v>0</v>
      </c>
      <c r="L400" s="13" t="str">
        <f t="shared" si="39"/>
        <v/>
      </c>
      <c r="M400" s="1">
        <v>0</v>
      </c>
      <c r="N400" s="1">
        <v>161283.08737583301</v>
      </c>
      <c r="O400" t="str">
        <f t="shared" si="40"/>
        <v>Injector</v>
      </c>
      <c r="P400" s="15">
        <f t="shared" si="41"/>
        <v>0.99645833333333345</v>
      </c>
    </row>
    <row r="401" spans="1:16" x14ac:dyDescent="0.35">
      <c r="A401" t="s">
        <v>6</v>
      </c>
      <c r="B401">
        <v>5693</v>
      </c>
      <c r="C401">
        <v>2015</v>
      </c>
      <c r="D401">
        <v>7</v>
      </c>
      <c r="E401" s="6">
        <f t="shared" si="36"/>
        <v>42186</v>
      </c>
      <c r="F401" s="1">
        <v>739.67499999999995</v>
      </c>
      <c r="G401" s="1">
        <v>0</v>
      </c>
      <c r="H401" s="1">
        <v>0</v>
      </c>
      <c r="I401" s="1">
        <v>0</v>
      </c>
      <c r="J401" s="7">
        <f t="shared" si="37"/>
        <v>0</v>
      </c>
      <c r="K401" s="1">
        <f t="shared" si="38"/>
        <v>0</v>
      </c>
      <c r="L401" s="13" t="str">
        <f t="shared" si="39"/>
        <v/>
      </c>
      <c r="M401" s="1">
        <v>0</v>
      </c>
      <c r="N401" s="1">
        <v>156312.54031166699</v>
      </c>
      <c r="O401" t="str">
        <f t="shared" si="40"/>
        <v>Injector</v>
      </c>
      <c r="P401" s="15">
        <f t="shared" si="41"/>
        <v>0.99418682795698921</v>
      </c>
    </row>
    <row r="402" spans="1:16" x14ac:dyDescent="0.35">
      <c r="A402" t="s">
        <v>6</v>
      </c>
      <c r="B402">
        <v>5693</v>
      </c>
      <c r="C402">
        <v>2015</v>
      </c>
      <c r="D402">
        <v>8</v>
      </c>
      <c r="E402" s="6">
        <f t="shared" si="36"/>
        <v>42217</v>
      </c>
      <c r="F402" s="1">
        <v>614.66736000000003</v>
      </c>
      <c r="G402" s="1">
        <v>0</v>
      </c>
      <c r="H402" s="1">
        <v>0</v>
      </c>
      <c r="I402" s="1">
        <v>0</v>
      </c>
      <c r="J402" s="7">
        <f t="shared" si="37"/>
        <v>0</v>
      </c>
      <c r="K402" s="1">
        <f t="shared" si="38"/>
        <v>0</v>
      </c>
      <c r="L402" s="13" t="str">
        <f t="shared" si="39"/>
        <v/>
      </c>
      <c r="M402" s="1">
        <v>0</v>
      </c>
      <c r="N402" s="1">
        <v>114753.050129375</v>
      </c>
      <c r="O402" t="str">
        <f t="shared" si="40"/>
        <v>Injector</v>
      </c>
      <c r="P402" s="15">
        <f t="shared" si="41"/>
        <v>0.82616580645161297</v>
      </c>
    </row>
    <row r="403" spans="1:16" x14ac:dyDescent="0.35">
      <c r="A403" t="s">
        <v>6</v>
      </c>
      <c r="B403">
        <v>5693</v>
      </c>
      <c r="C403">
        <v>2015</v>
      </c>
      <c r="D403">
        <v>9</v>
      </c>
      <c r="E403" s="6">
        <f t="shared" si="36"/>
        <v>42248</v>
      </c>
      <c r="F403" s="1">
        <v>715.98375999999996</v>
      </c>
      <c r="G403" s="1">
        <v>0</v>
      </c>
      <c r="H403" s="1">
        <v>0</v>
      </c>
      <c r="I403" s="1">
        <v>0</v>
      </c>
      <c r="J403" s="7">
        <f t="shared" si="37"/>
        <v>0</v>
      </c>
      <c r="K403" s="1">
        <f t="shared" si="38"/>
        <v>0</v>
      </c>
      <c r="L403" s="13" t="str">
        <f t="shared" si="39"/>
        <v/>
      </c>
      <c r="M403" s="1">
        <v>0</v>
      </c>
      <c r="N403" s="1">
        <v>133755.403172083</v>
      </c>
      <c r="O403" t="str">
        <f t="shared" si="40"/>
        <v>Injector</v>
      </c>
      <c r="P403" s="15">
        <f t="shared" si="41"/>
        <v>0.99442188888888883</v>
      </c>
    </row>
    <row r="404" spans="1:16" x14ac:dyDescent="0.35">
      <c r="A404" t="s">
        <v>6</v>
      </c>
      <c r="B404">
        <v>5693</v>
      </c>
      <c r="C404">
        <v>2015</v>
      </c>
      <c r="D404">
        <v>10</v>
      </c>
      <c r="E404" s="6">
        <f t="shared" si="36"/>
        <v>42278</v>
      </c>
      <c r="F404" s="1">
        <v>728.59946000000002</v>
      </c>
      <c r="G404" s="1">
        <v>0</v>
      </c>
      <c r="H404" s="1">
        <v>0</v>
      </c>
      <c r="I404" s="1">
        <v>0</v>
      </c>
      <c r="J404" s="7">
        <f t="shared" si="37"/>
        <v>0</v>
      </c>
      <c r="K404" s="1">
        <f t="shared" si="38"/>
        <v>0</v>
      </c>
      <c r="L404" s="13" t="str">
        <f t="shared" si="39"/>
        <v/>
      </c>
      <c r="M404" s="1">
        <v>0</v>
      </c>
      <c r="N404" s="1">
        <v>135860.216532925</v>
      </c>
      <c r="O404" t="str">
        <f t="shared" si="40"/>
        <v>Injector</v>
      </c>
      <c r="P404" s="15">
        <f t="shared" si="41"/>
        <v>0.97930034946236566</v>
      </c>
    </row>
    <row r="405" spans="1:16" x14ac:dyDescent="0.35">
      <c r="A405" t="s">
        <v>6</v>
      </c>
      <c r="B405">
        <v>5693</v>
      </c>
      <c r="C405">
        <v>2015</v>
      </c>
      <c r="D405">
        <v>11</v>
      </c>
      <c r="E405" s="6">
        <f t="shared" si="36"/>
        <v>42309</v>
      </c>
      <c r="F405" s="1">
        <v>698.5</v>
      </c>
      <c r="G405" s="1">
        <v>0</v>
      </c>
      <c r="H405" s="1">
        <v>0</v>
      </c>
      <c r="I405" s="1">
        <v>0</v>
      </c>
      <c r="J405" s="7">
        <f t="shared" si="37"/>
        <v>0</v>
      </c>
      <c r="K405" s="1">
        <f t="shared" si="38"/>
        <v>0</v>
      </c>
      <c r="L405" s="13" t="str">
        <f t="shared" si="39"/>
        <v/>
      </c>
      <c r="M405" s="1">
        <v>0</v>
      </c>
      <c r="N405" s="1">
        <v>160504.98263479199</v>
      </c>
      <c r="O405" t="str">
        <f t="shared" si="40"/>
        <v>Injector</v>
      </c>
      <c r="P405" s="15">
        <f t="shared" si="41"/>
        <v>0.97013888888888888</v>
      </c>
    </row>
    <row r="406" spans="1:16" x14ac:dyDescent="0.35">
      <c r="A406" t="s">
        <v>6</v>
      </c>
      <c r="B406">
        <v>5693</v>
      </c>
      <c r="C406">
        <v>2015</v>
      </c>
      <c r="D406">
        <v>12</v>
      </c>
      <c r="E406" s="6">
        <f t="shared" si="36"/>
        <v>42339</v>
      </c>
      <c r="F406" s="1">
        <v>739.24999000000003</v>
      </c>
      <c r="G406" s="1">
        <v>0</v>
      </c>
      <c r="H406" s="1">
        <v>0</v>
      </c>
      <c r="I406" s="1">
        <v>0</v>
      </c>
      <c r="J406" s="7">
        <f t="shared" si="37"/>
        <v>0</v>
      </c>
      <c r="K406" s="1">
        <f t="shared" si="38"/>
        <v>0</v>
      </c>
      <c r="L406" s="13" t="str">
        <f t="shared" si="39"/>
        <v/>
      </c>
      <c r="M406" s="1">
        <v>0</v>
      </c>
      <c r="N406" s="1">
        <v>152921.636901458</v>
      </c>
      <c r="O406" t="str">
        <f t="shared" si="40"/>
        <v>Injector</v>
      </c>
      <c r="P406" s="15">
        <f t="shared" si="41"/>
        <v>0.99361557795698929</v>
      </c>
    </row>
    <row r="407" spans="1:16" x14ac:dyDescent="0.35">
      <c r="A407" t="s">
        <v>6</v>
      </c>
      <c r="B407">
        <v>5693</v>
      </c>
      <c r="C407">
        <v>2016</v>
      </c>
      <c r="D407">
        <v>1</v>
      </c>
      <c r="E407" s="6">
        <f t="shared" si="36"/>
        <v>42370</v>
      </c>
      <c r="F407" s="1">
        <v>721.33333000000005</v>
      </c>
      <c r="G407" s="1">
        <v>0</v>
      </c>
      <c r="H407" s="1">
        <v>0</v>
      </c>
      <c r="I407" s="1">
        <v>0</v>
      </c>
      <c r="J407" s="7">
        <f t="shared" si="37"/>
        <v>0</v>
      </c>
      <c r="K407" s="1">
        <f t="shared" si="38"/>
        <v>0</v>
      </c>
      <c r="L407" s="13" t="str">
        <f t="shared" si="39"/>
        <v/>
      </c>
      <c r="M407" s="1">
        <v>0</v>
      </c>
      <c r="N407" s="1">
        <v>152129.93557458301</v>
      </c>
      <c r="O407" t="str">
        <f t="shared" si="40"/>
        <v>Injector</v>
      </c>
      <c r="P407" s="15">
        <f t="shared" si="41"/>
        <v>0.96953404569892476</v>
      </c>
    </row>
    <row r="408" spans="1:16" x14ac:dyDescent="0.35">
      <c r="A408" t="s">
        <v>6</v>
      </c>
      <c r="B408">
        <v>5693</v>
      </c>
      <c r="C408">
        <v>2016</v>
      </c>
      <c r="D408">
        <v>2</v>
      </c>
      <c r="E408" s="6">
        <f t="shared" si="36"/>
        <v>42401</v>
      </c>
      <c r="F408" s="1">
        <v>693.41666999999995</v>
      </c>
      <c r="G408" s="1">
        <v>0</v>
      </c>
      <c r="H408" s="1">
        <v>0</v>
      </c>
      <c r="I408" s="1">
        <v>0</v>
      </c>
      <c r="J408" s="7">
        <f t="shared" si="37"/>
        <v>0</v>
      </c>
      <c r="K408" s="1">
        <f t="shared" si="38"/>
        <v>0</v>
      </c>
      <c r="L408" s="13" t="str">
        <f t="shared" si="39"/>
        <v/>
      </c>
      <c r="M408" s="1">
        <v>0</v>
      </c>
      <c r="N408" s="1">
        <v>148078.12622041701</v>
      </c>
      <c r="O408" t="str">
        <f t="shared" si="40"/>
        <v>Injector</v>
      </c>
      <c r="P408" s="15">
        <f t="shared" si="41"/>
        <v>0.99628831896551717</v>
      </c>
    </row>
    <row r="409" spans="1:16" x14ac:dyDescent="0.35">
      <c r="A409" t="s">
        <v>6</v>
      </c>
      <c r="B409">
        <v>5693</v>
      </c>
      <c r="C409">
        <v>2016</v>
      </c>
      <c r="D409">
        <v>3</v>
      </c>
      <c r="E409" s="6">
        <f t="shared" si="36"/>
        <v>42430</v>
      </c>
      <c r="F409" s="1">
        <v>743</v>
      </c>
      <c r="G409" s="1">
        <v>0</v>
      </c>
      <c r="H409" s="1">
        <v>0</v>
      </c>
      <c r="I409" s="1">
        <v>0</v>
      </c>
      <c r="J409" s="7">
        <f t="shared" si="37"/>
        <v>0</v>
      </c>
      <c r="K409" s="1">
        <f t="shared" si="38"/>
        <v>0</v>
      </c>
      <c r="L409" s="13" t="str">
        <f t="shared" si="39"/>
        <v/>
      </c>
      <c r="M409" s="1">
        <v>0</v>
      </c>
      <c r="N409" s="1">
        <v>141201.78562062501</v>
      </c>
      <c r="O409" t="str">
        <f t="shared" si="40"/>
        <v>Injector</v>
      </c>
      <c r="P409" s="15">
        <f t="shared" si="41"/>
        <v>0.99865591397849462</v>
      </c>
    </row>
    <row r="410" spans="1:16" x14ac:dyDescent="0.35">
      <c r="A410" t="s">
        <v>6</v>
      </c>
      <c r="B410">
        <v>5693</v>
      </c>
      <c r="C410">
        <v>2016</v>
      </c>
      <c r="D410">
        <v>4</v>
      </c>
      <c r="E410" s="6">
        <f t="shared" si="36"/>
        <v>42461</v>
      </c>
      <c r="F410" s="1">
        <v>701.83333000000005</v>
      </c>
      <c r="G410" s="1">
        <v>0</v>
      </c>
      <c r="H410" s="1">
        <v>0</v>
      </c>
      <c r="I410" s="1">
        <v>0</v>
      </c>
      <c r="J410" s="7">
        <f t="shared" si="37"/>
        <v>0</v>
      </c>
      <c r="K410" s="1">
        <f t="shared" si="38"/>
        <v>0</v>
      </c>
      <c r="L410" s="13" t="str">
        <f t="shared" si="39"/>
        <v/>
      </c>
      <c r="M410" s="1">
        <v>0</v>
      </c>
      <c r="N410" s="1">
        <v>220078.31513541701</v>
      </c>
      <c r="O410" t="str">
        <f t="shared" si="40"/>
        <v>Injector</v>
      </c>
      <c r="P410" s="15">
        <f t="shared" si="41"/>
        <v>0.97476851388888897</v>
      </c>
    </row>
    <row r="411" spans="1:16" x14ac:dyDescent="0.35">
      <c r="A411" t="s">
        <v>6</v>
      </c>
      <c r="B411">
        <v>5693</v>
      </c>
      <c r="C411">
        <v>2016</v>
      </c>
      <c r="D411">
        <v>5</v>
      </c>
      <c r="E411" s="6">
        <f t="shared" si="36"/>
        <v>42491</v>
      </c>
      <c r="F411" s="1">
        <v>744</v>
      </c>
      <c r="G411" s="1">
        <v>0</v>
      </c>
      <c r="H411" s="1">
        <v>0</v>
      </c>
      <c r="I411" s="1">
        <v>0</v>
      </c>
      <c r="J411" s="7">
        <f t="shared" si="37"/>
        <v>0</v>
      </c>
      <c r="K411" s="1">
        <f t="shared" si="38"/>
        <v>0</v>
      </c>
      <c r="L411" s="13" t="str">
        <f t="shared" si="39"/>
        <v/>
      </c>
      <c r="M411" s="1">
        <v>0</v>
      </c>
      <c r="N411" s="1">
        <v>269279.17616104201</v>
      </c>
      <c r="O411" t="str">
        <f t="shared" si="40"/>
        <v>Injector</v>
      </c>
      <c r="P411" s="15">
        <f t="shared" si="41"/>
        <v>1</v>
      </c>
    </row>
    <row r="412" spans="1:16" x14ac:dyDescent="0.35">
      <c r="A412" t="s">
        <v>6</v>
      </c>
      <c r="B412">
        <v>5693</v>
      </c>
      <c r="C412">
        <v>2016</v>
      </c>
      <c r="D412">
        <v>6</v>
      </c>
      <c r="E412" s="6">
        <f t="shared" si="36"/>
        <v>42522</v>
      </c>
      <c r="F412" s="1">
        <v>708.58333000000005</v>
      </c>
      <c r="G412" s="1">
        <v>0</v>
      </c>
      <c r="H412" s="1">
        <v>0</v>
      </c>
      <c r="I412" s="1">
        <v>0</v>
      </c>
      <c r="J412" s="7">
        <f t="shared" si="37"/>
        <v>0</v>
      </c>
      <c r="K412" s="1">
        <f t="shared" si="38"/>
        <v>0</v>
      </c>
      <c r="L412" s="13" t="str">
        <f t="shared" si="39"/>
        <v/>
      </c>
      <c r="M412" s="1">
        <v>0</v>
      </c>
      <c r="N412" s="1">
        <v>257281.26086979199</v>
      </c>
      <c r="O412" t="str">
        <f t="shared" si="40"/>
        <v>Injector</v>
      </c>
      <c r="P412" s="15">
        <f t="shared" si="41"/>
        <v>0.98414351388888899</v>
      </c>
    </row>
    <row r="413" spans="1:16" x14ac:dyDescent="0.35">
      <c r="A413" t="s">
        <v>6</v>
      </c>
      <c r="B413">
        <v>5693</v>
      </c>
      <c r="C413">
        <v>2016</v>
      </c>
      <c r="D413">
        <v>7</v>
      </c>
      <c r="E413" s="6">
        <f t="shared" si="36"/>
        <v>42552</v>
      </c>
      <c r="F413" s="1">
        <v>608.64998000000003</v>
      </c>
      <c r="G413" s="1">
        <v>0</v>
      </c>
      <c r="H413" s="1">
        <v>0</v>
      </c>
      <c r="I413" s="1">
        <v>0</v>
      </c>
      <c r="J413" s="7">
        <f t="shared" si="37"/>
        <v>0</v>
      </c>
      <c r="K413" s="1">
        <f t="shared" si="38"/>
        <v>0</v>
      </c>
      <c r="L413" s="13" t="str">
        <f t="shared" si="39"/>
        <v/>
      </c>
      <c r="M413" s="1">
        <v>0</v>
      </c>
      <c r="N413" s="1">
        <v>197975.70744</v>
      </c>
      <c r="O413" t="str">
        <f t="shared" si="40"/>
        <v>Injector</v>
      </c>
      <c r="P413" s="15">
        <f t="shared" si="41"/>
        <v>0.81807793010752694</v>
      </c>
    </row>
    <row r="414" spans="1:16" x14ac:dyDescent="0.35">
      <c r="A414" t="s">
        <v>6</v>
      </c>
      <c r="B414">
        <v>5693</v>
      </c>
      <c r="C414">
        <v>2016</v>
      </c>
      <c r="D414">
        <v>8</v>
      </c>
      <c r="E414" s="6">
        <f t="shared" si="36"/>
        <v>42583</v>
      </c>
      <c r="F414" s="1">
        <v>656.58333000000005</v>
      </c>
      <c r="G414" s="1">
        <v>0</v>
      </c>
      <c r="H414" s="1">
        <v>0</v>
      </c>
      <c r="I414" s="1">
        <v>0</v>
      </c>
      <c r="J414" s="7">
        <f t="shared" si="37"/>
        <v>0</v>
      </c>
      <c r="K414" s="1">
        <f t="shared" si="38"/>
        <v>0</v>
      </c>
      <c r="L414" s="13" t="str">
        <f t="shared" si="39"/>
        <v/>
      </c>
      <c r="M414" s="1">
        <v>0</v>
      </c>
      <c r="N414" s="1">
        <v>132382.87739520799</v>
      </c>
      <c r="O414" t="str">
        <f t="shared" si="40"/>
        <v>Injector</v>
      </c>
      <c r="P414" s="15">
        <f t="shared" si="41"/>
        <v>0.88250447580645164</v>
      </c>
    </row>
    <row r="415" spans="1:16" x14ac:dyDescent="0.35">
      <c r="A415" t="s">
        <v>6</v>
      </c>
      <c r="B415">
        <v>5693</v>
      </c>
      <c r="C415">
        <v>2016</v>
      </c>
      <c r="D415">
        <v>9</v>
      </c>
      <c r="E415" s="6">
        <f t="shared" si="36"/>
        <v>42614</v>
      </c>
      <c r="F415" s="1">
        <v>340.10833000000002</v>
      </c>
      <c r="G415" s="1">
        <v>0</v>
      </c>
      <c r="H415" s="1">
        <v>0</v>
      </c>
      <c r="I415" s="1">
        <v>0</v>
      </c>
      <c r="J415" s="7">
        <f t="shared" si="37"/>
        <v>0</v>
      </c>
      <c r="K415" s="1">
        <f t="shared" si="38"/>
        <v>0</v>
      </c>
      <c r="L415" s="13" t="str">
        <f t="shared" si="39"/>
        <v/>
      </c>
      <c r="M415" s="1">
        <v>0</v>
      </c>
      <c r="N415" s="1">
        <v>61200.875995416704</v>
      </c>
      <c r="O415" t="str">
        <f t="shared" si="40"/>
        <v>Injector</v>
      </c>
      <c r="P415" s="15">
        <f t="shared" si="41"/>
        <v>0.47237268055555559</v>
      </c>
    </row>
    <row r="416" spans="1:16" x14ac:dyDescent="0.35">
      <c r="A416" t="s">
        <v>6</v>
      </c>
      <c r="B416">
        <v>5693</v>
      </c>
      <c r="C416">
        <v>2016</v>
      </c>
      <c r="D416">
        <v>10</v>
      </c>
      <c r="E416" s="6">
        <f t="shared" si="36"/>
        <v>42644</v>
      </c>
      <c r="F416" s="1">
        <v>0</v>
      </c>
      <c r="G416" s="1">
        <v>0</v>
      </c>
      <c r="H416" s="1">
        <v>0</v>
      </c>
      <c r="I416" s="1">
        <v>0</v>
      </c>
      <c r="J416" s="7" t="str">
        <f t="shared" si="37"/>
        <v/>
      </c>
      <c r="K416" s="1" t="str">
        <f t="shared" si="38"/>
        <v/>
      </c>
      <c r="L416" s="13" t="str">
        <f t="shared" si="39"/>
        <v/>
      </c>
      <c r="M416" s="1">
        <v>0</v>
      </c>
      <c r="N416" s="1">
        <v>0</v>
      </c>
      <c r="O416" t="str">
        <f t="shared" si="40"/>
        <v>No production</v>
      </c>
      <c r="P416" s="15" t="str">
        <f t="shared" si="41"/>
        <v/>
      </c>
    </row>
    <row r="417" spans="1:16" x14ac:dyDescent="0.35">
      <c r="A417" t="s">
        <v>6</v>
      </c>
      <c r="B417">
        <v>5693</v>
      </c>
      <c r="C417">
        <v>2016</v>
      </c>
      <c r="D417">
        <v>11</v>
      </c>
      <c r="E417" s="6">
        <f t="shared" si="36"/>
        <v>42675</v>
      </c>
      <c r="F417" s="1">
        <v>0</v>
      </c>
      <c r="G417" s="1">
        <v>0</v>
      </c>
      <c r="H417" s="1">
        <v>0</v>
      </c>
      <c r="I417" s="1">
        <v>0</v>
      </c>
      <c r="J417" s="7" t="str">
        <f t="shared" si="37"/>
        <v/>
      </c>
      <c r="K417" s="1" t="str">
        <f t="shared" si="38"/>
        <v/>
      </c>
      <c r="L417" s="13" t="str">
        <f t="shared" si="39"/>
        <v/>
      </c>
      <c r="M417" s="1">
        <v>0</v>
      </c>
      <c r="N417" s="1">
        <v>0</v>
      </c>
      <c r="O417" t="str">
        <f t="shared" si="40"/>
        <v>No production</v>
      </c>
      <c r="P417" s="15" t="str">
        <f t="shared" si="41"/>
        <v/>
      </c>
    </row>
    <row r="418" spans="1:16" x14ac:dyDescent="0.35">
      <c r="A418" t="s">
        <v>6</v>
      </c>
      <c r="B418">
        <v>5693</v>
      </c>
      <c r="C418">
        <v>2016</v>
      </c>
      <c r="D418">
        <v>12</v>
      </c>
      <c r="E418" s="6">
        <f t="shared" si="36"/>
        <v>42705</v>
      </c>
      <c r="F418" s="1">
        <v>0</v>
      </c>
      <c r="G418" s="1">
        <v>0</v>
      </c>
      <c r="H418" s="1">
        <v>0</v>
      </c>
      <c r="I418" s="1">
        <v>0</v>
      </c>
      <c r="J418" s="7" t="str">
        <f t="shared" si="37"/>
        <v/>
      </c>
      <c r="K418" s="1" t="str">
        <f t="shared" si="38"/>
        <v/>
      </c>
      <c r="L418" s="13" t="str">
        <f t="shared" si="39"/>
        <v/>
      </c>
      <c r="M418" s="1">
        <v>0</v>
      </c>
      <c r="N418" s="1">
        <v>0</v>
      </c>
      <c r="O418" t="str">
        <f t="shared" si="40"/>
        <v>No production</v>
      </c>
      <c r="P418" s="15" t="str">
        <f t="shared" si="41"/>
        <v/>
      </c>
    </row>
    <row r="419" spans="1:16" x14ac:dyDescent="0.35">
      <c r="A419" t="s">
        <v>7</v>
      </c>
      <c r="B419">
        <v>5769</v>
      </c>
      <c r="C419">
        <v>2007</v>
      </c>
      <c r="D419">
        <v>9</v>
      </c>
      <c r="E419" s="6">
        <f t="shared" si="36"/>
        <v>39326</v>
      </c>
      <c r="F419" s="1">
        <v>0</v>
      </c>
      <c r="G419" s="1">
        <v>0</v>
      </c>
      <c r="H419" s="1">
        <v>0</v>
      </c>
      <c r="I419" s="1">
        <v>0</v>
      </c>
      <c r="J419" s="7" t="str">
        <f t="shared" si="37"/>
        <v/>
      </c>
      <c r="K419" s="1" t="str">
        <f t="shared" si="38"/>
        <v/>
      </c>
      <c r="L419" s="13" t="str">
        <f t="shared" si="39"/>
        <v/>
      </c>
      <c r="M419" s="1">
        <v>0</v>
      </c>
      <c r="N419" s="1">
        <v>0</v>
      </c>
      <c r="O419" t="str">
        <f t="shared" si="40"/>
        <v>No production</v>
      </c>
      <c r="P419" s="15" t="str">
        <f t="shared" si="41"/>
        <v/>
      </c>
    </row>
    <row r="420" spans="1:16" x14ac:dyDescent="0.35">
      <c r="A420" t="s">
        <v>7</v>
      </c>
      <c r="B420">
        <v>5769</v>
      </c>
      <c r="C420">
        <v>2007</v>
      </c>
      <c r="D420">
        <v>10</v>
      </c>
      <c r="E420" s="6">
        <f t="shared" si="36"/>
        <v>39356</v>
      </c>
      <c r="F420" s="1">
        <v>0</v>
      </c>
      <c r="G420" s="1">
        <v>0</v>
      </c>
      <c r="H420" s="1">
        <v>0</v>
      </c>
      <c r="I420" s="1">
        <v>0</v>
      </c>
      <c r="J420" s="7" t="str">
        <f t="shared" si="37"/>
        <v/>
      </c>
      <c r="K420" s="1" t="str">
        <f t="shared" si="38"/>
        <v/>
      </c>
      <c r="L420" s="13" t="str">
        <f t="shared" si="39"/>
        <v/>
      </c>
      <c r="M420" s="1">
        <v>0</v>
      </c>
      <c r="N420" s="1">
        <v>0</v>
      </c>
      <c r="O420" t="str">
        <f t="shared" si="40"/>
        <v>No production</v>
      </c>
      <c r="P420" s="15" t="str">
        <f t="shared" si="41"/>
        <v/>
      </c>
    </row>
    <row r="421" spans="1:16" x14ac:dyDescent="0.35">
      <c r="A421" t="s">
        <v>7</v>
      </c>
      <c r="B421">
        <v>5769</v>
      </c>
      <c r="C421">
        <v>2007</v>
      </c>
      <c r="D421">
        <v>11</v>
      </c>
      <c r="E421" s="6">
        <f t="shared" si="36"/>
        <v>39387</v>
      </c>
      <c r="F421" s="1">
        <v>0</v>
      </c>
      <c r="G421" s="1">
        <v>0</v>
      </c>
      <c r="H421" s="1">
        <v>0</v>
      </c>
      <c r="I421" s="1">
        <v>0</v>
      </c>
      <c r="J421" s="7" t="str">
        <f t="shared" si="37"/>
        <v/>
      </c>
      <c r="K421" s="1" t="str">
        <f t="shared" si="38"/>
        <v/>
      </c>
      <c r="L421" s="13" t="str">
        <f t="shared" si="39"/>
        <v/>
      </c>
      <c r="M421" s="1">
        <v>0</v>
      </c>
      <c r="N421" s="1">
        <v>0</v>
      </c>
      <c r="O421" t="str">
        <f t="shared" si="40"/>
        <v>No production</v>
      </c>
      <c r="P421" s="15" t="str">
        <f t="shared" si="41"/>
        <v/>
      </c>
    </row>
    <row r="422" spans="1:16" x14ac:dyDescent="0.35">
      <c r="A422" t="s">
        <v>7</v>
      </c>
      <c r="B422">
        <v>5769</v>
      </c>
      <c r="C422">
        <v>2007</v>
      </c>
      <c r="D422">
        <v>12</v>
      </c>
      <c r="E422" s="6">
        <f t="shared" si="36"/>
        <v>39417</v>
      </c>
      <c r="F422" s="1">
        <v>0</v>
      </c>
      <c r="G422" s="1">
        <v>0</v>
      </c>
      <c r="H422" s="1">
        <v>0</v>
      </c>
      <c r="I422" s="1">
        <v>0</v>
      </c>
      <c r="J422" s="7" t="str">
        <f t="shared" si="37"/>
        <v/>
      </c>
      <c r="K422" s="1" t="str">
        <f t="shared" si="38"/>
        <v/>
      </c>
      <c r="L422" s="13" t="str">
        <f t="shared" si="39"/>
        <v/>
      </c>
      <c r="M422" s="1">
        <v>0</v>
      </c>
      <c r="N422" s="1">
        <v>0</v>
      </c>
      <c r="O422" t="str">
        <f t="shared" si="40"/>
        <v>No production</v>
      </c>
      <c r="P422" s="15" t="str">
        <f t="shared" si="41"/>
        <v/>
      </c>
    </row>
    <row r="423" spans="1:16" x14ac:dyDescent="0.35">
      <c r="A423" t="s">
        <v>7</v>
      </c>
      <c r="B423">
        <v>5769</v>
      </c>
      <c r="C423">
        <v>2008</v>
      </c>
      <c r="D423">
        <v>1</v>
      </c>
      <c r="E423" s="6">
        <f t="shared" si="36"/>
        <v>39448</v>
      </c>
      <c r="F423" s="1">
        <v>0</v>
      </c>
      <c r="G423" s="1">
        <v>0</v>
      </c>
      <c r="H423" s="1">
        <v>0</v>
      </c>
      <c r="I423" s="1">
        <v>0</v>
      </c>
      <c r="J423" s="7" t="str">
        <f t="shared" si="37"/>
        <v/>
      </c>
      <c r="K423" s="1" t="str">
        <f t="shared" si="38"/>
        <v/>
      </c>
      <c r="L423" s="13" t="str">
        <f t="shared" si="39"/>
        <v/>
      </c>
      <c r="M423" s="1">
        <v>0</v>
      </c>
      <c r="N423" s="1">
        <v>0</v>
      </c>
      <c r="O423" t="str">
        <f t="shared" si="40"/>
        <v>No production</v>
      </c>
      <c r="P423" s="15" t="str">
        <f t="shared" si="41"/>
        <v/>
      </c>
    </row>
    <row r="424" spans="1:16" x14ac:dyDescent="0.35">
      <c r="A424" t="s">
        <v>7</v>
      </c>
      <c r="B424">
        <v>5769</v>
      </c>
      <c r="C424">
        <v>2008</v>
      </c>
      <c r="D424">
        <v>2</v>
      </c>
      <c r="E424" s="6">
        <f t="shared" si="36"/>
        <v>39479</v>
      </c>
      <c r="F424" s="1">
        <v>0</v>
      </c>
      <c r="G424" s="1">
        <v>0</v>
      </c>
      <c r="H424" s="1">
        <v>0</v>
      </c>
      <c r="I424" s="1">
        <v>0</v>
      </c>
      <c r="J424" s="7" t="str">
        <f t="shared" si="37"/>
        <v/>
      </c>
      <c r="K424" s="1" t="str">
        <f t="shared" si="38"/>
        <v/>
      </c>
      <c r="L424" s="13" t="str">
        <f t="shared" si="39"/>
        <v/>
      </c>
      <c r="M424" s="1">
        <v>0</v>
      </c>
      <c r="N424" s="1">
        <v>0</v>
      </c>
      <c r="O424" t="str">
        <f t="shared" si="40"/>
        <v>No production</v>
      </c>
      <c r="P424" s="15" t="str">
        <f t="shared" si="41"/>
        <v/>
      </c>
    </row>
    <row r="425" spans="1:16" x14ac:dyDescent="0.35">
      <c r="A425" t="s">
        <v>7</v>
      </c>
      <c r="B425">
        <v>5769</v>
      </c>
      <c r="C425">
        <v>2008</v>
      </c>
      <c r="D425">
        <v>3</v>
      </c>
      <c r="E425" s="6">
        <f t="shared" si="36"/>
        <v>39508</v>
      </c>
      <c r="F425" s="1">
        <v>0</v>
      </c>
      <c r="G425" s="1">
        <v>0</v>
      </c>
      <c r="H425" s="1">
        <v>0</v>
      </c>
      <c r="I425" s="1">
        <v>0</v>
      </c>
      <c r="J425" s="7" t="str">
        <f t="shared" si="37"/>
        <v/>
      </c>
      <c r="K425" s="1" t="str">
        <f t="shared" si="38"/>
        <v/>
      </c>
      <c r="L425" s="13" t="str">
        <f t="shared" si="39"/>
        <v/>
      </c>
      <c r="M425" s="1">
        <v>0</v>
      </c>
      <c r="N425" s="1">
        <v>0</v>
      </c>
      <c r="O425" t="str">
        <f t="shared" si="40"/>
        <v>No production</v>
      </c>
      <c r="P425" s="15" t="str">
        <f t="shared" si="41"/>
        <v/>
      </c>
    </row>
    <row r="426" spans="1:16" x14ac:dyDescent="0.35">
      <c r="A426" t="s">
        <v>7</v>
      </c>
      <c r="B426">
        <v>5769</v>
      </c>
      <c r="C426">
        <v>2008</v>
      </c>
      <c r="D426">
        <v>4</v>
      </c>
      <c r="E426" s="6">
        <f t="shared" si="36"/>
        <v>39539</v>
      </c>
      <c r="F426" s="1">
        <v>0</v>
      </c>
      <c r="G426" s="1">
        <v>0</v>
      </c>
      <c r="H426" s="1">
        <v>0</v>
      </c>
      <c r="I426" s="1">
        <v>0</v>
      </c>
      <c r="J426" s="7" t="str">
        <f t="shared" si="37"/>
        <v/>
      </c>
      <c r="K426" s="1" t="str">
        <f t="shared" si="38"/>
        <v/>
      </c>
      <c r="L426" s="13" t="str">
        <f t="shared" si="39"/>
        <v/>
      </c>
      <c r="M426" s="1">
        <v>0</v>
      </c>
      <c r="N426" s="1">
        <v>0</v>
      </c>
      <c r="O426" t="str">
        <f t="shared" si="40"/>
        <v>No production</v>
      </c>
      <c r="P426" s="15" t="str">
        <f t="shared" si="41"/>
        <v/>
      </c>
    </row>
    <row r="427" spans="1:16" x14ac:dyDescent="0.35">
      <c r="A427" t="s">
        <v>7</v>
      </c>
      <c r="B427">
        <v>5769</v>
      </c>
      <c r="C427">
        <v>2008</v>
      </c>
      <c r="D427">
        <v>5</v>
      </c>
      <c r="E427" s="6">
        <f t="shared" si="36"/>
        <v>39569</v>
      </c>
      <c r="F427" s="1">
        <v>0</v>
      </c>
      <c r="G427" s="1">
        <v>0</v>
      </c>
      <c r="H427" s="1">
        <v>0</v>
      </c>
      <c r="I427" s="1">
        <v>0</v>
      </c>
      <c r="J427" s="7" t="str">
        <f t="shared" si="37"/>
        <v/>
      </c>
      <c r="K427" s="1" t="str">
        <f t="shared" si="38"/>
        <v/>
      </c>
      <c r="L427" s="13" t="str">
        <f t="shared" si="39"/>
        <v/>
      </c>
      <c r="M427" s="1">
        <v>0</v>
      </c>
      <c r="N427" s="1">
        <v>0</v>
      </c>
      <c r="O427" t="str">
        <f t="shared" si="40"/>
        <v>No production</v>
      </c>
      <c r="P427" s="15" t="str">
        <f t="shared" si="41"/>
        <v/>
      </c>
    </row>
    <row r="428" spans="1:16" x14ac:dyDescent="0.35">
      <c r="A428" t="s">
        <v>7</v>
      </c>
      <c r="B428">
        <v>5769</v>
      </c>
      <c r="C428">
        <v>2008</v>
      </c>
      <c r="D428">
        <v>6</v>
      </c>
      <c r="E428" s="6">
        <f t="shared" si="36"/>
        <v>39600</v>
      </c>
      <c r="F428" s="1">
        <v>0</v>
      </c>
      <c r="G428" s="1">
        <v>0</v>
      </c>
      <c r="H428" s="1">
        <v>0</v>
      </c>
      <c r="I428" s="1">
        <v>0</v>
      </c>
      <c r="J428" s="7" t="str">
        <f t="shared" si="37"/>
        <v/>
      </c>
      <c r="K428" s="1" t="str">
        <f t="shared" si="38"/>
        <v/>
      </c>
      <c r="L428" s="13" t="str">
        <f t="shared" si="39"/>
        <v/>
      </c>
      <c r="M428" s="1">
        <v>0</v>
      </c>
      <c r="N428" s="1">
        <v>0</v>
      </c>
      <c r="O428" t="str">
        <f t="shared" si="40"/>
        <v>No production</v>
      </c>
      <c r="P428" s="15" t="str">
        <f t="shared" si="41"/>
        <v/>
      </c>
    </row>
    <row r="429" spans="1:16" x14ac:dyDescent="0.35">
      <c r="A429" t="s">
        <v>7</v>
      </c>
      <c r="B429">
        <v>5769</v>
      </c>
      <c r="C429">
        <v>2008</v>
      </c>
      <c r="D429">
        <v>7</v>
      </c>
      <c r="E429" s="6">
        <f t="shared" si="36"/>
        <v>39630</v>
      </c>
      <c r="F429" s="1">
        <v>0</v>
      </c>
      <c r="G429" s="1">
        <v>0</v>
      </c>
      <c r="H429" s="1">
        <v>0</v>
      </c>
      <c r="I429" s="1">
        <v>0</v>
      </c>
      <c r="J429" s="7" t="str">
        <f t="shared" si="37"/>
        <v/>
      </c>
      <c r="K429" s="1" t="str">
        <f t="shared" si="38"/>
        <v/>
      </c>
      <c r="L429" s="13" t="str">
        <f t="shared" si="39"/>
        <v/>
      </c>
      <c r="M429" s="1">
        <v>0</v>
      </c>
      <c r="N429" s="1">
        <v>0</v>
      </c>
      <c r="O429" t="str">
        <f t="shared" si="40"/>
        <v>No production</v>
      </c>
      <c r="P429" s="15" t="str">
        <f t="shared" si="41"/>
        <v/>
      </c>
    </row>
    <row r="430" spans="1:16" x14ac:dyDescent="0.35">
      <c r="A430" t="s">
        <v>7</v>
      </c>
      <c r="B430">
        <v>5769</v>
      </c>
      <c r="C430">
        <v>2008</v>
      </c>
      <c r="D430">
        <v>8</v>
      </c>
      <c r="E430" s="6">
        <f t="shared" si="36"/>
        <v>39661</v>
      </c>
      <c r="F430" s="1">
        <v>98.081670000000003</v>
      </c>
      <c r="G430" s="1">
        <v>0</v>
      </c>
      <c r="H430" s="1">
        <v>0</v>
      </c>
      <c r="I430" s="1">
        <v>0</v>
      </c>
      <c r="J430" s="7">
        <f t="shared" si="37"/>
        <v>0</v>
      </c>
      <c r="K430" s="1">
        <f t="shared" si="38"/>
        <v>0</v>
      </c>
      <c r="L430" s="13" t="str">
        <f t="shared" si="39"/>
        <v/>
      </c>
      <c r="M430" s="1">
        <v>0</v>
      </c>
      <c r="N430" s="1">
        <v>14480.9320771154</v>
      </c>
      <c r="O430" t="str">
        <f t="shared" si="40"/>
        <v>Injector</v>
      </c>
      <c r="P430" s="15">
        <f t="shared" si="41"/>
        <v>0.13183020161290324</v>
      </c>
    </row>
    <row r="431" spans="1:16" x14ac:dyDescent="0.35">
      <c r="A431" t="s">
        <v>7</v>
      </c>
      <c r="B431">
        <v>5769</v>
      </c>
      <c r="C431">
        <v>2008</v>
      </c>
      <c r="D431">
        <v>9</v>
      </c>
      <c r="E431" s="6">
        <f t="shared" si="36"/>
        <v>39692</v>
      </c>
      <c r="F431" s="1">
        <v>557.88057000000003</v>
      </c>
      <c r="G431" s="1">
        <v>0</v>
      </c>
      <c r="H431" s="1">
        <v>0</v>
      </c>
      <c r="I431" s="1">
        <v>0</v>
      </c>
      <c r="J431" s="7">
        <f t="shared" si="37"/>
        <v>0</v>
      </c>
      <c r="K431" s="1">
        <f t="shared" si="38"/>
        <v>0</v>
      </c>
      <c r="L431" s="13" t="str">
        <f t="shared" si="39"/>
        <v/>
      </c>
      <c r="M431" s="1">
        <v>0</v>
      </c>
      <c r="N431" s="1">
        <v>64814.286524475297</v>
      </c>
      <c r="O431" t="str">
        <f t="shared" si="40"/>
        <v>Injector</v>
      </c>
      <c r="P431" s="15">
        <f t="shared" si="41"/>
        <v>0.77483412500000004</v>
      </c>
    </row>
    <row r="432" spans="1:16" x14ac:dyDescent="0.35">
      <c r="A432" t="s">
        <v>7</v>
      </c>
      <c r="B432">
        <v>5769</v>
      </c>
      <c r="C432">
        <v>2008</v>
      </c>
      <c r="D432">
        <v>10</v>
      </c>
      <c r="E432" s="6">
        <f t="shared" si="36"/>
        <v>39722</v>
      </c>
      <c r="F432" s="1">
        <v>563.99999000000003</v>
      </c>
      <c r="G432" s="1">
        <v>0</v>
      </c>
      <c r="H432" s="1">
        <v>0</v>
      </c>
      <c r="I432" s="1">
        <v>0</v>
      </c>
      <c r="J432" s="7">
        <f t="shared" si="37"/>
        <v>0</v>
      </c>
      <c r="K432" s="1">
        <f t="shared" si="38"/>
        <v>0</v>
      </c>
      <c r="L432" s="13" t="str">
        <f t="shared" si="39"/>
        <v/>
      </c>
      <c r="M432" s="1">
        <v>0</v>
      </c>
      <c r="N432" s="1">
        <v>122254.371735423</v>
      </c>
      <c r="O432" t="str">
        <f t="shared" si="40"/>
        <v>Injector</v>
      </c>
      <c r="P432" s="15">
        <f t="shared" si="41"/>
        <v>0.75806450268817205</v>
      </c>
    </row>
    <row r="433" spans="1:16" x14ac:dyDescent="0.35">
      <c r="A433" t="s">
        <v>7</v>
      </c>
      <c r="B433">
        <v>5769</v>
      </c>
      <c r="C433">
        <v>2008</v>
      </c>
      <c r="D433">
        <v>11</v>
      </c>
      <c r="E433" s="6">
        <f t="shared" si="36"/>
        <v>39753</v>
      </c>
      <c r="F433" s="1">
        <v>716.16666999999995</v>
      </c>
      <c r="G433" s="1">
        <v>0</v>
      </c>
      <c r="H433" s="1">
        <v>0</v>
      </c>
      <c r="I433" s="1">
        <v>0</v>
      </c>
      <c r="J433" s="7">
        <f t="shared" si="37"/>
        <v>0</v>
      </c>
      <c r="K433" s="1">
        <f t="shared" si="38"/>
        <v>0</v>
      </c>
      <c r="L433" s="13" t="str">
        <f t="shared" si="39"/>
        <v/>
      </c>
      <c r="M433" s="1">
        <v>0</v>
      </c>
      <c r="N433" s="1">
        <v>219779.98439821601</v>
      </c>
      <c r="O433" t="str">
        <f t="shared" si="40"/>
        <v>Injector</v>
      </c>
      <c r="P433" s="15">
        <f t="shared" si="41"/>
        <v>0.99467593055555548</v>
      </c>
    </row>
    <row r="434" spans="1:16" x14ac:dyDescent="0.35">
      <c r="A434" t="s">
        <v>7</v>
      </c>
      <c r="B434">
        <v>5769</v>
      </c>
      <c r="C434">
        <v>2008</v>
      </c>
      <c r="D434">
        <v>12</v>
      </c>
      <c r="E434" s="6">
        <f t="shared" si="36"/>
        <v>39783</v>
      </c>
      <c r="F434" s="1">
        <v>742.25</v>
      </c>
      <c r="G434" s="1">
        <v>0</v>
      </c>
      <c r="H434" s="1">
        <v>0</v>
      </c>
      <c r="I434" s="1">
        <v>0</v>
      </c>
      <c r="J434" s="7">
        <f t="shared" si="37"/>
        <v>0</v>
      </c>
      <c r="K434" s="1">
        <f t="shared" si="38"/>
        <v>0</v>
      </c>
      <c r="L434" s="13" t="str">
        <f t="shared" si="39"/>
        <v/>
      </c>
      <c r="M434" s="1">
        <v>0</v>
      </c>
      <c r="N434" s="1">
        <v>270199.39982958301</v>
      </c>
      <c r="O434" t="str">
        <f t="shared" si="40"/>
        <v>Injector</v>
      </c>
      <c r="P434" s="15">
        <f t="shared" si="41"/>
        <v>0.99764784946236562</v>
      </c>
    </row>
    <row r="435" spans="1:16" x14ac:dyDescent="0.35">
      <c r="A435" t="s">
        <v>7</v>
      </c>
      <c r="B435">
        <v>5769</v>
      </c>
      <c r="C435">
        <v>2009</v>
      </c>
      <c r="D435">
        <v>1</v>
      </c>
      <c r="E435" s="6">
        <f t="shared" si="36"/>
        <v>39814</v>
      </c>
      <c r="F435" s="1">
        <v>697.49998000000005</v>
      </c>
      <c r="G435" s="1">
        <v>0</v>
      </c>
      <c r="H435" s="1">
        <v>0</v>
      </c>
      <c r="I435" s="1">
        <v>0</v>
      </c>
      <c r="J435" s="7">
        <f t="shared" si="37"/>
        <v>0</v>
      </c>
      <c r="K435" s="1">
        <f t="shared" si="38"/>
        <v>0</v>
      </c>
      <c r="L435" s="13" t="str">
        <f t="shared" si="39"/>
        <v/>
      </c>
      <c r="M435" s="1">
        <v>0</v>
      </c>
      <c r="N435" s="1">
        <v>253655.42580070801</v>
      </c>
      <c r="O435" t="str">
        <f t="shared" si="40"/>
        <v>Injector</v>
      </c>
      <c r="P435" s="15">
        <f t="shared" si="41"/>
        <v>0.93749997311827959</v>
      </c>
    </row>
    <row r="436" spans="1:16" x14ac:dyDescent="0.35">
      <c r="A436" t="s">
        <v>7</v>
      </c>
      <c r="B436">
        <v>5769</v>
      </c>
      <c r="C436">
        <v>2009</v>
      </c>
      <c r="D436">
        <v>2</v>
      </c>
      <c r="E436" s="6">
        <f t="shared" si="36"/>
        <v>39845</v>
      </c>
      <c r="F436" s="1">
        <v>635.74999000000003</v>
      </c>
      <c r="G436" s="1">
        <v>0</v>
      </c>
      <c r="H436" s="1">
        <v>0</v>
      </c>
      <c r="I436" s="1">
        <v>0</v>
      </c>
      <c r="J436" s="7">
        <f t="shared" si="37"/>
        <v>0</v>
      </c>
      <c r="K436" s="1">
        <f t="shared" si="38"/>
        <v>0</v>
      </c>
      <c r="L436" s="13" t="str">
        <f t="shared" si="39"/>
        <v/>
      </c>
      <c r="M436" s="1">
        <v>0</v>
      </c>
      <c r="N436" s="1">
        <v>226102.01316</v>
      </c>
      <c r="O436" t="str">
        <f t="shared" si="40"/>
        <v>Injector</v>
      </c>
      <c r="P436" s="15">
        <f t="shared" si="41"/>
        <v>0.94605653273809531</v>
      </c>
    </row>
    <row r="437" spans="1:16" x14ac:dyDescent="0.35">
      <c r="A437" t="s">
        <v>7</v>
      </c>
      <c r="B437">
        <v>5769</v>
      </c>
      <c r="C437">
        <v>2009</v>
      </c>
      <c r="D437">
        <v>3</v>
      </c>
      <c r="E437" s="6">
        <f t="shared" si="36"/>
        <v>39873</v>
      </c>
      <c r="F437" s="1">
        <v>224.58333999999999</v>
      </c>
      <c r="G437" s="1">
        <v>0</v>
      </c>
      <c r="H437" s="1">
        <v>0</v>
      </c>
      <c r="I437" s="1">
        <v>0</v>
      </c>
      <c r="J437" s="7">
        <f t="shared" si="37"/>
        <v>0</v>
      </c>
      <c r="K437" s="1">
        <f t="shared" si="38"/>
        <v>0</v>
      </c>
      <c r="L437" s="13" t="str">
        <f t="shared" si="39"/>
        <v/>
      </c>
      <c r="M437" s="1">
        <v>0</v>
      </c>
      <c r="N437" s="1">
        <v>81674.350000000006</v>
      </c>
      <c r="O437" t="str">
        <f t="shared" si="40"/>
        <v>Injector</v>
      </c>
      <c r="P437" s="15">
        <f t="shared" si="41"/>
        <v>0.30185932795698922</v>
      </c>
    </row>
    <row r="438" spans="1:16" x14ac:dyDescent="0.35">
      <c r="A438" t="s">
        <v>7</v>
      </c>
      <c r="B438">
        <v>5769</v>
      </c>
      <c r="C438">
        <v>2009</v>
      </c>
      <c r="D438">
        <v>4</v>
      </c>
      <c r="E438" s="6">
        <f t="shared" si="36"/>
        <v>39904</v>
      </c>
      <c r="F438" s="1">
        <v>531.54999999999995</v>
      </c>
      <c r="G438" s="1">
        <v>0</v>
      </c>
      <c r="H438" s="1">
        <v>0</v>
      </c>
      <c r="I438" s="1">
        <v>0</v>
      </c>
      <c r="J438" s="7">
        <f t="shared" si="37"/>
        <v>0</v>
      </c>
      <c r="K438" s="1">
        <f t="shared" si="38"/>
        <v>0</v>
      </c>
      <c r="L438" s="13" t="str">
        <f t="shared" si="39"/>
        <v/>
      </c>
      <c r="M438" s="1">
        <v>0</v>
      </c>
      <c r="N438" s="1">
        <v>104818.54777999999</v>
      </c>
      <c r="O438" t="str">
        <f t="shared" si="40"/>
        <v>Injector</v>
      </c>
      <c r="P438" s="15">
        <f t="shared" si="41"/>
        <v>0.73826388888888883</v>
      </c>
    </row>
    <row r="439" spans="1:16" x14ac:dyDescent="0.35">
      <c r="A439" t="s">
        <v>7</v>
      </c>
      <c r="B439">
        <v>5769</v>
      </c>
      <c r="C439">
        <v>2009</v>
      </c>
      <c r="D439">
        <v>5</v>
      </c>
      <c r="E439" s="6">
        <f t="shared" si="36"/>
        <v>39934</v>
      </c>
      <c r="F439" s="1">
        <v>706.99999000000003</v>
      </c>
      <c r="G439" s="1">
        <v>0</v>
      </c>
      <c r="H439" s="1">
        <v>0</v>
      </c>
      <c r="I439" s="1">
        <v>0</v>
      </c>
      <c r="J439" s="7">
        <f t="shared" si="37"/>
        <v>0</v>
      </c>
      <c r="K439" s="1">
        <f t="shared" si="38"/>
        <v>0</v>
      </c>
      <c r="L439" s="13" t="str">
        <f t="shared" si="39"/>
        <v/>
      </c>
      <c r="M439" s="1">
        <v>0</v>
      </c>
      <c r="N439" s="1">
        <v>232334.514448239</v>
      </c>
      <c r="O439" t="str">
        <f t="shared" si="40"/>
        <v>Injector</v>
      </c>
      <c r="P439" s="15">
        <f t="shared" si="41"/>
        <v>0.95026880376344092</v>
      </c>
    </row>
    <row r="440" spans="1:16" x14ac:dyDescent="0.35">
      <c r="A440" t="s">
        <v>7</v>
      </c>
      <c r="B440">
        <v>5769</v>
      </c>
      <c r="C440">
        <v>2009</v>
      </c>
      <c r="D440">
        <v>6</v>
      </c>
      <c r="E440" s="6">
        <f t="shared" si="36"/>
        <v>39965</v>
      </c>
      <c r="F440" s="1">
        <v>690.73332000000005</v>
      </c>
      <c r="G440" s="1">
        <v>0</v>
      </c>
      <c r="H440" s="1">
        <v>0</v>
      </c>
      <c r="I440" s="1">
        <v>0</v>
      </c>
      <c r="J440" s="7">
        <f t="shared" si="37"/>
        <v>0</v>
      </c>
      <c r="K440" s="1">
        <f t="shared" si="38"/>
        <v>0</v>
      </c>
      <c r="L440" s="13" t="str">
        <f t="shared" si="39"/>
        <v/>
      </c>
      <c r="M440" s="1">
        <v>0</v>
      </c>
      <c r="N440" s="1">
        <v>133204.20527124999</v>
      </c>
      <c r="O440" t="str">
        <f t="shared" si="40"/>
        <v>Injector</v>
      </c>
      <c r="P440" s="15">
        <f t="shared" si="41"/>
        <v>0.9593518333333334</v>
      </c>
    </row>
    <row r="441" spans="1:16" x14ac:dyDescent="0.35">
      <c r="A441" t="s">
        <v>7</v>
      </c>
      <c r="B441">
        <v>5769</v>
      </c>
      <c r="C441">
        <v>2009</v>
      </c>
      <c r="D441">
        <v>7</v>
      </c>
      <c r="E441" s="6">
        <f t="shared" si="36"/>
        <v>39995</v>
      </c>
      <c r="F441" s="1">
        <v>734.83333000000005</v>
      </c>
      <c r="G441" s="1">
        <v>0</v>
      </c>
      <c r="H441" s="1">
        <v>0</v>
      </c>
      <c r="I441" s="1">
        <v>0</v>
      </c>
      <c r="J441" s="7">
        <f t="shared" si="37"/>
        <v>0</v>
      </c>
      <c r="K441" s="1">
        <f t="shared" si="38"/>
        <v>0</v>
      </c>
      <c r="L441" s="13" t="str">
        <f t="shared" si="39"/>
        <v/>
      </c>
      <c r="M441" s="1">
        <v>0</v>
      </c>
      <c r="N441" s="1">
        <v>205447.01868812501</v>
      </c>
      <c r="O441" t="str">
        <f t="shared" si="40"/>
        <v>Injector</v>
      </c>
      <c r="P441" s="15">
        <f t="shared" si="41"/>
        <v>0.98767920698924738</v>
      </c>
    </row>
    <row r="442" spans="1:16" x14ac:dyDescent="0.35">
      <c r="A442" t="s">
        <v>7</v>
      </c>
      <c r="B442">
        <v>5769</v>
      </c>
      <c r="C442">
        <v>2009</v>
      </c>
      <c r="D442">
        <v>8</v>
      </c>
      <c r="E442" s="6">
        <f t="shared" si="36"/>
        <v>40026</v>
      </c>
      <c r="F442" s="1">
        <v>703.82498999999996</v>
      </c>
      <c r="G442" s="1">
        <v>0</v>
      </c>
      <c r="H442" s="1">
        <v>0</v>
      </c>
      <c r="I442" s="1">
        <v>0</v>
      </c>
      <c r="J442" s="7">
        <f t="shared" si="37"/>
        <v>0</v>
      </c>
      <c r="K442" s="1">
        <f t="shared" si="38"/>
        <v>0</v>
      </c>
      <c r="L442" s="13" t="str">
        <f t="shared" si="39"/>
        <v/>
      </c>
      <c r="M442" s="1">
        <v>0</v>
      </c>
      <c r="N442" s="1">
        <v>198473.65997874999</v>
      </c>
      <c r="O442" t="str">
        <f t="shared" si="40"/>
        <v>Injector</v>
      </c>
      <c r="P442" s="15">
        <f t="shared" si="41"/>
        <v>0.94600133064516123</v>
      </c>
    </row>
    <row r="443" spans="1:16" x14ac:dyDescent="0.35">
      <c r="A443" t="s">
        <v>7</v>
      </c>
      <c r="B443">
        <v>5769</v>
      </c>
      <c r="C443">
        <v>2009</v>
      </c>
      <c r="D443">
        <v>9</v>
      </c>
      <c r="E443" s="6">
        <f t="shared" si="36"/>
        <v>40057</v>
      </c>
      <c r="F443" s="1">
        <v>509.16667000000001</v>
      </c>
      <c r="G443" s="1">
        <v>0</v>
      </c>
      <c r="H443" s="1">
        <v>0</v>
      </c>
      <c r="I443" s="1">
        <v>0</v>
      </c>
      <c r="J443" s="7">
        <f t="shared" si="37"/>
        <v>0</v>
      </c>
      <c r="K443" s="1">
        <f t="shared" si="38"/>
        <v>0</v>
      </c>
      <c r="L443" s="13" t="str">
        <f t="shared" si="39"/>
        <v/>
      </c>
      <c r="M443" s="1">
        <v>0</v>
      </c>
      <c r="N443" s="1">
        <v>171773.20486270799</v>
      </c>
      <c r="O443" t="str">
        <f t="shared" si="40"/>
        <v>Injector</v>
      </c>
      <c r="P443" s="15">
        <f t="shared" si="41"/>
        <v>0.70717593055555561</v>
      </c>
    </row>
    <row r="444" spans="1:16" x14ac:dyDescent="0.35">
      <c r="A444" t="s">
        <v>7</v>
      </c>
      <c r="B444">
        <v>5769</v>
      </c>
      <c r="C444">
        <v>2009</v>
      </c>
      <c r="D444">
        <v>10</v>
      </c>
      <c r="E444" s="6">
        <f t="shared" si="36"/>
        <v>40087</v>
      </c>
      <c r="F444" s="1">
        <v>682.25167999999996</v>
      </c>
      <c r="G444" s="1">
        <v>0</v>
      </c>
      <c r="H444" s="1">
        <v>0</v>
      </c>
      <c r="I444" s="1">
        <v>0</v>
      </c>
      <c r="J444" s="7">
        <f t="shared" si="37"/>
        <v>0</v>
      </c>
      <c r="K444" s="1">
        <f t="shared" si="38"/>
        <v>0</v>
      </c>
      <c r="L444" s="13" t="str">
        <f t="shared" si="39"/>
        <v/>
      </c>
      <c r="M444" s="1">
        <v>0</v>
      </c>
      <c r="N444" s="1">
        <v>200847.230494093</v>
      </c>
      <c r="O444" t="str">
        <f t="shared" si="40"/>
        <v>Injector</v>
      </c>
      <c r="P444" s="15">
        <f t="shared" si="41"/>
        <v>0.91700494623655904</v>
      </c>
    </row>
    <row r="445" spans="1:16" x14ac:dyDescent="0.35">
      <c r="A445" t="s">
        <v>7</v>
      </c>
      <c r="B445">
        <v>5769</v>
      </c>
      <c r="C445">
        <v>2009</v>
      </c>
      <c r="D445">
        <v>11</v>
      </c>
      <c r="E445" s="6">
        <f t="shared" si="36"/>
        <v>40118</v>
      </c>
      <c r="F445" s="1">
        <v>705.58333000000005</v>
      </c>
      <c r="G445" s="1">
        <v>0</v>
      </c>
      <c r="H445" s="1">
        <v>0</v>
      </c>
      <c r="I445" s="1">
        <v>0</v>
      </c>
      <c r="J445" s="7">
        <f t="shared" si="37"/>
        <v>0</v>
      </c>
      <c r="K445" s="1">
        <f t="shared" si="38"/>
        <v>0</v>
      </c>
      <c r="L445" s="13" t="str">
        <f t="shared" si="39"/>
        <v/>
      </c>
      <c r="M445" s="1">
        <v>0</v>
      </c>
      <c r="N445" s="1">
        <v>208933.86788113101</v>
      </c>
      <c r="O445" t="str">
        <f t="shared" si="40"/>
        <v>Injector</v>
      </c>
      <c r="P445" s="15">
        <f t="shared" si="41"/>
        <v>0.97997684722222234</v>
      </c>
    </row>
    <row r="446" spans="1:16" x14ac:dyDescent="0.35">
      <c r="A446" t="s">
        <v>7</v>
      </c>
      <c r="B446">
        <v>5769</v>
      </c>
      <c r="C446">
        <v>2009</v>
      </c>
      <c r="D446">
        <v>12</v>
      </c>
      <c r="E446" s="6">
        <f t="shared" si="36"/>
        <v>40148</v>
      </c>
      <c r="F446" s="1">
        <v>738.16665999999998</v>
      </c>
      <c r="G446" s="1">
        <v>0</v>
      </c>
      <c r="H446" s="1">
        <v>0</v>
      </c>
      <c r="I446" s="1">
        <v>0</v>
      </c>
      <c r="J446" s="7">
        <f t="shared" si="37"/>
        <v>0</v>
      </c>
      <c r="K446" s="1">
        <f t="shared" si="38"/>
        <v>0</v>
      </c>
      <c r="L446" s="13" t="str">
        <f t="shared" si="39"/>
        <v/>
      </c>
      <c r="M446" s="1">
        <v>0</v>
      </c>
      <c r="N446" s="1">
        <v>225455.33740633001</v>
      </c>
      <c r="O446" t="str">
        <f t="shared" si="40"/>
        <v>Injector</v>
      </c>
      <c r="P446" s="15">
        <f t="shared" si="41"/>
        <v>0.99215948924731179</v>
      </c>
    </row>
    <row r="447" spans="1:16" x14ac:dyDescent="0.35">
      <c r="A447" t="s">
        <v>7</v>
      </c>
      <c r="B447">
        <v>5769</v>
      </c>
      <c r="C447">
        <v>2010</v>
      </c>
      <c r="D447">
        <v>1</v>
      </c>
      <c r="E447" s="6">
        <f t="shared" si="36"/>
        <v>40179</v>
      </c>
      <c r="F447" s="1">
        <v>735.66666999999995</v>
      </c>
      <c r="G447" s="1">
        <v>0</v>
      </c>
      <c r="H447" s="1">
        <v>0</v>
      </c>
      <c r="I447" s="1">
        <v>0</v>
      </c>
      <c r="J447" s="7">
        <f t="shared" si="37"/>
        <v>0</v>
      </c>
      <c r="K447" s="1">
        <f t="shared" si="38"/>
        <v>0</v>
      </c>
      <c r="L447" s="13" t="str">
        <f t="shared" si="39"/>
        <v/>
      </c>
      <c r="M447" s="1">
        <v>0</v>
      </c>
      <c r="N447" s="1">
        <v>251554.767873089</v>
      </c>
      <c r="O447" t="str">
        <f t="shared" si="40"/>
        <v>Injector</v>
      </c>
      <c r="P447" s="15">
        <f t="shared" si="41"/>
        <v>0.9887992876344085</v>
      </c>
    </row>
    <row r="448" spans="1:16" x14ac:dyDescent="0.35">
      <c r="A448" t="s">
        <v>7</v>
      </c>
      <c r="B448">
        <v>5769</v>
      </c>
      <c r="C448">
        <v>2010</v>
      </c>
      <c r="D448">
        <v>2</v>
      </c>
      <c r="E448" s="6">
        <f t="shared" si="36"/>
        <v>40210</v>
      </c>
      <c r="F448" s="1">
        <v>595.41668000000004</v>
      </c>
      <c r="G448" s="1">
        <v>0</v>
      </c>
      <c r="H448" s="1">
        <v>0</v>
      </c>
      <c r="I448" s="1">
        <v>0</v>
      </c>
      <c r="J448" s="7">
        <f t="shared" si="37"/>
        <v>0</v>
      </c>
      <c r="K448" s="1">
        <f t="shared" si="38"/>
        <v>0</v>
      </c>
      <c r="L448" s="13" t="str">
        <f t="shared" si="39"/>
        <v/>
      </c>
      <c r="M448" s="1">
        <v>0</v>
      </c>
      <c r="N448" s="1">
        <v>199239.179513098</v>
      </c>
      <c r="O448" t="str">
        <f t="shared" si="40"/>
        <v>Injector</v>
      </c>
      <c r="P448" s="15">
        <f t="shared" si="41"/>
        <v>0.88603672619047624</v>
      </c>
    </row>
    <row r="449" spans="1:16" x14ac:dyDescent="0.35">
      <c r="A449" t="s">
        <v>7</v>
      </c>
      <c r="B449">
        <v>5769</v>
      </c>
      <c r="C449">
        <v>2010</v>
      </c>
      <c r="D449">
        <v>3</v>
      </c>
      <c r="E449" s="6">
        <f t="shared" si="36"/>
        <v>40238</v>
      </c>
      <c r="F449" s="1">
        <v>571.00833999999998</v>
      </c>
      <c r="G449" s="1">
        <v>0</v>
      </c>
      <c r="H449" s="1">
        <v>0</v>
      </c>
      <c r="I449" s="1">
        <v>0</v>
      </c>
      <c r="J449" s="7">
        <f t="shared" si="37"/>
        <v>0</v>
      </c>
      <c r="K449" s="1">
        <f t="shared" si="38"/>
        <v>0</v>
      </c>
      <c r="L449" s="13" t="str">
        <f t="shared" si="39"/>
        <v/>
      </c>
      <c r="M449" s="1">
        <v>0</v>
      </c>
      <c r="N449" s="1">
        <v>159955.29204669499</v>
      </c>
      <c r="O449" t="str">
        <f t="shared" si="40"/>
        <v>Injector</v>
      </c>
      <c r="P449" s="15">
        <f t="shared" si="41"/>
        <v>0.76748432795698918</v>
      </c>
    </row>
    <row r="450" spans="1:16" x14ac:dyDescent="0.35">
      <c r="A450" t="s">
        <v>7</v>
      </c>
      <c r="B450">
        <v>5769</v>
      </c>
      <c r="C450">
        <v>2010</v>
      </c>
      <c r="D450">
        <v>4</v>
      </c>
      <c r="E450" s="6">
        <f t="shared" si="36"/>
        <v>40269</v>
      </c>
      <c r="F450" s="1">
        <v>449.39168000000001</v>
      </c>
      <c r="G450" s="1">
        <v>0</v>
      </c>
      <c r="H450" s="1">
        <v>0</v>
      </c>
      <c r="I450" s="1">
        <v>0</v>
      </c>
      <c r="J450" s="7">
        <f t="shared" si="37"/>
        <v>0</v>
      </c>
      <c r="K450" s="1">
        <f t="shared" si="38"/>
        <v>0</v>
      </c>
      <c r="L450" s="13" t="str">
        <f t="shared" si="39"/>
        <v/>
      </c>
      <c r="M450" s="1">
        <v>0</v>
      </c>
      <c r="N450" s="1">
        <v>143182.22737582901</v>
      </c>
      <c r="O450" t="str">
        <f t="shared" si="40"/>
        <v>Injector</v>
      </c>
      <c r="P450" s="15">
        <f t="shared" si="41"/>
        <v>0.6241551111111111</v>
      </c>
    </row>
    <row r="451" spans="1:16" x14ac:dyDescent="0.35">
      <c r="A451" t="s">
        <v>7</v>
      </c>
      <c r="B451">
        <v>5769</v>
      </c>
      <c r="C451">
        <v>2010</v>
      </c>
      <c r="D451">
        <v>5</v>
      </c>
      <c r="E451" s="6">
        <f t="shared" ref="E451:E514" si="42">DATE(C451, D451, 1)</f>
        <v>40299</v>
      </c>
      <c r="F451" s="1">
        <v>744</v>
      </c>
      <c r="G451" s="1">
        <v>0</v>
      </c>
      <c r="H451" s="1">
        <v>0</v>
      </c>
      <c r="I451" s="1">
        <v>0</v>
      </c>
      <c r="J451" s="7">
        <f t="shared" ref="J451:J514" si="43">IF(F451&gt;0,G451/(F451/24),"")</f>
        <v>0</v>
      </c>
      <c r="K451" s="1">
        <f t="shared" ref="K451:K514" si="44">+J451</f>
        <v>0</v>
      </c>
      <c r="L451" s="13" t="str">
        <f t="shared" ref="L451:L514" si="45">+IF((G451+I451)&gt;0,I451/(G451+I451),"")</f>
        <v/>
      </c>
      <c r="M451" s="1">
        <v>0</v>
      </c>
      <c r="N451" s="1">
        <v>252211.73762833301</v>
      </c>
      <c r="O451" t="str">
        <f t="shared" ref="O451:O514" si="46">IF(F451&gt;0,IF(N(N451)&gt;0,"Injector",IF(N(G451)&gt;0,"Producer","Inactive")),"No production")</f>
        <v>Injector</v>
      </c>
      <c r="P451" s="15">
        <f t="shared" ref="P451:P514" si="47">+IF(F451&gt;0,F451/(DAY(EOMONTH(E451,0))*24),"")</f>
        <v>1</v>
      </c>
    </row>
    <row r="452" spans="1:16" x14ac:dyDescent="0.35">
      <c r="A452" t="s">
        <v>7</v>
      </c>
      <c r="B452">
        <v>5769</v>
      </c>
      <c r="C452">
        <v>2010</v>
      </c>
      <c r="D452">
        <v>6</v>
      </c>
      <c r="E452" s="6">
        <f t="shared" si="42"/>
        <v>40330</v>
      </c>
      <c r="F452" s="1">
        <v>716.66666999999995</v>
      </c>
      <c r="G452" s="1">
        <v>0</v>
      </c>
      <c r="H452" s="1">
        <v>0</v>
      </c>
      <c r="I452" s="1">
        <v>0</v>
      </c>
      <c r="J452" s="7">
        <f t="shared" si="43"/>
        <v>0</v>
      </c>
      <c r="K452" s="1">
        <f t="shared" si="44"/>
        <v>0</v>
      </c>
      <c r="L452" s="13" t="str">
        <f t="shared" si="45"/>
        <v/>
      </c>
      <c r="M452" s="1">
        <v>0</v>
      </c>
      <c r="N452" s="1">
        <v>217995.58273250001</v>
      </c>
      <c r="O452" t="str">
        <f t="shared" si="46"/>
        <v>Injector</v>
      </c>
      <c r="P452" s="15">
        <f t="shared" si="47"/>
        <v>0.99537037499999992</v>
      </c>
    </row>
    <row r="453" spans="1:16" x14ac:dyDescent="0.35">
      <c r="A453" t="s">
        <v>7</v>
      </c>
      <c r="B453">
        <v>5769</v>
      </c>
      <c r="C453">
        <v>2010</v>
      </c>
      <c r="D453">
        <v>7</v>
      </c>
      <c r="E453" s="6">
        <f t="shared" si="42"/>
        <v>40360</v>
      </c>
      <c r="F453" s="1">
        <v>743.16666999999995</v>
      </c>
      <c r="G453" s="1">
        <v>0</v>
      </c>
      <c r="H453" s="1">
        <v>0</v>
      </c>
      <c r="I453" s="1">
        <v>0</v>
      </c>
      <c r="J453" s="7">
        <f t="shared" si="43"/>
        <v>0</v>
      </c>
      <c r="K453" s="1">
        <f t="shared" si="44"/>
        <v>0</v>
      </c>
      <c r="L453" s="13" t="str">
        <f t="shared" si="45"/>
        <v/>
      </c>
      <c r="M453" s="1">
        <v>0</v>
      </c>
      <c r="N453" s="1">
        <v>213816.939547708</v>
      </c>
      <c r="O453" t="str">
        <f t="shared" si="46"/>
        <v>Injector</v>
      </c>
      <c r="P453" s="15">
        <f t="shared" si="47"/>
        <v>0.99887993279569887</v>
      </c>
    </row>
    <row r="454" spans="1:16" x14ac:dyDescent="0.35">
      <c r="A454" t="s">
        <v>7</v>
      </c>
      <c r="B454">
        <v>5769</v>
      </c>
      <c r="C454">
        <v>2010</v>
      </c>
      <c r="D454">
        <v>8</v>
      </c>
      <c r="E454" s="6">
        <f t="shared" si="42"/>
        <v>40391</v>
      </c>
      <c r="F454" s="1">
        <v>447.14166</v>
      </c>
      <c r="G454" s="1">
        <v>0</v>
      </c>
      <c r="H454" s="1">
        <v>0</v>
      </c>
      <c r="I454" s="1">
        <v>0</v>
      </c>
      <c r="J454" s="7">
        <f t="shared" si="43"/>
        <v>0</v>
      </c>
      <c r="K454" s="1">
        <f t="shared" si="44"/>
        <v>0</v>
      </c>
      <c r="L454" s="13" t="str">
        <f t="shared" si="45"/>
        <v/>
      </c>
      <c r="M454" s="1">
        <v>0</v>
      </c>
      <c r="N454" s="1">
        <v>120306.477755738</v>
      </c>
      <c r="O454" t="str">
        <f t="shared" si="46"/>
        <v>Injector</v>
      </c>
      <c r="P454" s="15">
        <f t="shared" si="47"/>
        <v>0.60099685483870968</v>
      </c>
    </row>
    <row r="455" spans="1:16" x14ac:dyDescent="0.35">
      <c r="A455" t="s">
        <v>7</v>
      </c>
      <c r="B455">
        <v>5769</v>
      </c>
      <c r="C455">
        <v>2010</v>
      </c>
      <c r="D455">
        <v>9</v>
      </c>
      <c r="E455" s="6">
        <f t="shared" si="42"/>
        <v>40422</v>
      </c>
      <c r="F455" s="1">
        <v>695.41666999999995</v>
      </c>
      <c r="G455" s="1">
        <v>0</v>
      </c>
      <c r="H455" s="1">
        <v>0</v>
      </c>
      <c r="I455" s="1">
        <v>0</v>
      </c>
      <c r="J455" s="7">
        <f t="shared" si="43"/>
        <v>0</v>
      </c>
      <c r="K455" s="1">
        <f t="shared" si="44"/>
        <v>0</v>
      </c>
      <c r="L455" s="13" t="str">
        <f t="shared" si="45"/>
        <v/>
      </c>
      <c r="M455" s="1">
        <v>0</v>
      </c>
      <c r="N455" s="1">
        <v>163185.26024331499</v>
      </c>
      <c r="O455" t="str">
        <f t="shared" si="46"/>
        <v>Injector</v>
      </c>
      <c r="P455" s="15">
        <f t="shared" si="47"/>
        <v>0.96585648611111108</v>
      </c>
    </row>
    <row r="456" spans="1:16" x14ac:dyDescent="0.35">
      <c r="A456" t="s">
        <v>7</v>
      </c>
      <c r="B456">
        <v>5769</v>
      </c>
      <c r="C456">
        <v>2010</v>
      </c>
      <c r="D456">
        <v>10</v>
      </c>
      <c r="E456" s="6">
        <f t="shared" si="42"/>
        <v>40452</v>
      </c>
      <c r="F456" s="1">
        <v>717.58331999999996</v>
      </c>
      <c r="G456" s="1">
        <v>0</v>
      </c>
      <c r="H456" s="1">
        <v>0</v>
      </c>
      <c r="I456" s="1">
        <v>0</v>
      </c>
      <c r="J456" s="7">
        <f t="shared" si="43"/>
        <v>0</v>
      </c>
      <c r="K456" s="1">
        <f t="shared" si="44"/>
        <v>0</v>
      </c>
      <c r="L456" s="13" t="str">
        <f t="shared" si="45"/>
        <v/>
      </c>
      <c r="M456" s="1">
        <v>0</v>
      </c>
      <c r="N456" s="1">
        <v>200667.24969863001</v>
      </c>
      <c r="O456" t="str">
        <f t="shared" si="46"/>
        <v>Injector</v>
      </c>
      <c r="P456" s="15">
        <f t="shared" si="47"/>
        <v>0.96449370967741932</v>
      </c>
    </row>
    <row r="457" spans="1:16" x14ac:dyDescent="0.35">
      <c r="A457" t="s">
        <v>7</v>
      </c>
      <c r="B457">
        <v>5769</v>
      </c>
      <c r="C457">
        <v>2010</v>
      </c>
      <c r="D457">
        <v>11</v>
      </c>
      <c r="E457" s="6">
        <f t="shared" si="42"/>
        <v>40483</v>
      </c>
      <c r="F457" s="1">
        <v>703.91666999999995</v>
      </c>
      <c r="G457" s="1">
        <v>0</v>
      </c>
      <c r="H457" s="1">
        <v>0</v>
      </c>
      <c r="I457" s="1">
        <v>0</v>
      </c>
      <c r="J457" s="7">
        <f t="shared" si="43"/>
        <v>0</v>
      </c>
      <c r="K457" s="1">
        <f t="shared" si="44"/>
        <v>0</v>
      </c>
      <c r="L457" s="13" t="str">
        <f t="shared" si="45"/>
        <v/>
      </c>
      <c r="M457" s="1">
        <v>0</v>
      </c>
      <c r="N457" s="1">
        <v>188435.816567962</v>
      </c>
      <c r="O457" t="str">
        <f t="shared" si="46"/>
        <v>Injector</v>
      </c>
      <c r="P457" s="15">
        <f t="shared" si="47"/>
        <v>0.97766204166666659</v>
      </c>
    </row>
    <row r="458" spans="1:16" x14ac:dyDescent="0.35">
      <c r="A458" t="s">
        <v>7</v>
      </c>
      <c r="B458">
        <v>5769</v>
      </c>
      <c r="C458">
        <v>2010</v>
      </c>
      <c r="D458">
        <v>12</v>
      </c>
      <c r="E458" s="6">
        <f t="shared" si="42"/>
        <v>40513</v>
      </c>
      <c r="F458" s="1">
        <v>732.66666999999995</v>
      </c>
      <c r="G458" s="1">
        <v>0</v>
      </c>
      <c r="H458" s="1">
        <v>0</v>
      </c>
      <c r="I458" s="1">
        <v>0</v>
      </c>
      <c r="J458" s="7">
        <f t="shared" si="43"/>
        <v>0</v>
      </c>
      <c r="K458" s="1">
        <f t="shared" si="44"/>
        <v>0</v>
      </c>
      <c r="L458" s="13" t="str">
        <f t="shared" si="45"/>
        <v/>
      </c>
      <c r="M458" s="1">
        <v>0</v>
      </c>
      <c r="N458" s="1">
        <v>193372.73180145799</v>
      </c>
      <c r="O458" t="str">
        <f t="shared" si="46"/>
        <v>Injector</v>
      </c>
      <c r="P458" s="15">
        <f t="shared" si="47"/>
        <v>0.98476702956989237</v>
      </c>
    </row>
    <row r="459" spans="1:16" x14ac:dyDescent="0.35">
      <c r="A459" t="s">
        <v>7</v>
      </c>
      <c r="B459">
        <v>5769</v>
      </c>
      <c r="C459">
        <v>2011</v>
      </c>
      <c r="D459">
        <v>1</v>
      </c>
      <c r="E459" s="6">
        <f t="shared" si="42"/>
        <v>40544</v>
      </c>
      <c r="F459" s="1">
        <v>744</v>
      </c>
      <c r="G459" s="1">
        <v>0</v>
      </c>
      <c r="H459" s="1">
        <v>0</v>
      </c>
      <c r="I459" s="1">
        <v>0</v>
      </c>
      <c r="J459" s="7">
        <f t="shared" si="43"/>
        <v>0</v>
      </c>
      <c r="K459" s="1">
        <f t="shared" si="44"/>
        <v>0</v>
      </c>
      <c r="L459" s="13" t="str">
        <f t="shared" si="45"/>
        <v/>
      </c>
      <c r="M459" s="1">
        <v>0</v>
      </c>
      <c r="N459" s="1">
        <v>189041.11951854199</v>
      </c>
      <c r="O459" t="str">
        <f t="shared" si="46"/>
        <v>Injector</v>
      </c>
      <c r="P459" s="15">
        <f t="shared" si="47"/>
        <v>1</v>
      </c>
    </row>
    <row r="460" spans="1:16" x14ac:dyDescent="0.35">
      <c r="A460" t="s">
        <v>7</v>
      </c>
      <c r="B460">
        <v>5769</v>
      </c>
      <c r="C460">
        <v>2011</v>
      </c>
      <c r="D460">
        <v>2</v>
      </c>
      <c r="E460" s="6">
        <f t="shared" si="42"/>
        <v>40575</v>
      </c>
      <c r="F460" s="1">
        <v>532.74998000000005</v>
      </c>
      <c r="G460" s="1">
        <v>0</v>
      </c>
      <c r="H460" s="1">
        <v>0</v>
      </c>
      <c r="I460" s="1">
        <v>0</v>
      </c>
      <c r="J460" s="7">
        <f t="shared" si="43"/>
        <v>0</v>
      </c>
      <c r="K460" s="1">
        <f t="shared" si="44"/>
        <v>0</v>
      </c>
      <c r="L460" s="13" t="str">
        <f t="shared" si="45"/>
        <v/>
      </c>
      <c r="M460" s="1">
        <v>0</v>
      </c>
      <c r="N460" s="1">
        <v>139466.55643039299</v>
      </c>
      <c r="O460" t="str">
        <f t="shared" si="46"/>
        <v>Injector</v>
      </c>
      <c r="P460" s="15">
        <f t="shared" si="47"/>
        <v>0.79278270833333342</v>
      </c>
    </row>
    <row r="461" spans="1:16" x14ac:dyDescent="0.35">
      <c r="A461" t="s">
        <v>7</v>
      </c>
      <c r="B461">
        <v>5769</v>
      </c>
      <c r="C461">
        <v>2011</v>
      </c>
      <c r="D461">
        <v>3</v>
      </c>
      <c r="E461" s="6">
        <f t="shared" si="42"/>
        <v>40603</v>
      </c>
      <c r="F461" s="1">
        <v>728.00000999999997</v>
      </c>
      <c r="G461" s="1">
        <v>0</v>
      </c>
      <c r="H461" s="1">
        <v>0</v>
      </c>
      <c r="I461" s="1">
        <v>0</v>
      </c>
      <c r="J461" s="7">
        <f t="shared" si="43"/>
        <v>0</v>
      </c>
      <c r="K461" s="1">
        <f t="shared" si="44"/>
        <v>0</v>
      </c>
      <c r="L461" s="13" t="str">
        <f t="shared" si="45"/>
        <v/>
      </c>
      <c r="M461" s="1">
        <v>0</v>
      </c>
      <c r="N461" s="1">
        <v>184592.18769070899</v>
      </c>
      <c r="O461" t="str">
        <f t="shared" si="46"/>
        <v>Injector</v>
      </c>
      <c r="P461" s="15">
        <f t="shared" si="47"/>
        <v>0.9784946370967742</v>
      </c>
    </row>
    <row r="462" spans="1:16" x14ac:dyDescent="0.35">
      <c r="A462" t="s">
        <v>7</v>
      </c>
      <c r="B462">
        <v>5769</v>
      </c>
      <c r="C462">
        <v>2011</v>
      </c>
      <c r="D462">
        <v>4</v>
      </c>
      <c r="E462" s="6">
        <f t="shared" si="42"/>
        <v>40634</v>
      </c>
      <c r="F462" s="1">
        <v>700.83334000000002</v>
      </c>
      <c r="G462" s="1">
        <v>0</v>
      </c>
      <c r="H462" s="1">
        <v>0</v>
      </c>
      <c r="I462" s="1">
        <v>0</v>
      </c>
      <c r="J462" s="7">
        <f t="shared" si="43"/>
        <v>0</v>
      </c>
      <c r="K462" s="1">
        <f t="shared" si="44"/>
        <v>0</v>
      </c>
      <c r="L462" s="13" t="str">
        <f t="shared" si="45"/>
        <v/>
      </c>
      <c r="M462" s="1">
        <v>0</v>
      </c>
      <c r="N462" s="1">
        <v>188899.232610284</v>
      </c>
      <c r="O462" t="str">
        <f t="shared" si="46"/>
        <v>Injector</v>
      </c>
      <c r="P462" s="15">
        <f t="shared" si="47"/>
        <v>0.9733796388888889</v>
      </c>
    </row>
    <row r="463" spans="1:16" x14ac:dyDescent="0.35">
      <c r="A463" t="s">
        <v>7</v>
      </c>
      <c r="B463">
        <v>5769</v>
      </c>
      <c r="C463">
        <v>2011</v>
      </c>
      <c r="D463">
        <v>5</v>
      </c>
      <c r="E463" s="6">
        <f t="shared" si="42"/>
        <v>40664</v>
      </c>
      <c r="F463" s="1">
        <v>736.50000999999997</v>
      </c>
      <c r="G463" s="1">
        <v>0</v>
      </c>
      <c r="H463" s="1">
        <v>0</v>
      </c>
      <c r="I463" s="1">
        <v>0</v>
      </c>
      <c r="J463" s="7">
        <f t="shared" si="43"/>
        <v>0</v>
      </c>
      <c r="K463" s="1">
        <f t="shared" si="44"/>
        <v>0</v>
      </c>
      <c r="L463" s="13" t="str">
        <f t="shared" si="45"/>
        <v/>
      </c>
      <c r="M463" s="1">
        <v>0</v>
      </c>
      <c r="N463" s="1">
        <v>191438.08354220199</v>
      </c>
      <c r="O463" t="str">
        <f t="shared" si="46"/>
        <v>Injector</v>
      </c>
      <c r="P463" s="15">
        <f t="shared" si="47"/>
        <v>0.98991936827956983</v>
      </c>
    </row>
    <row r="464" spans="1:16" x14ac:dyDescent="0.35">
      <c r="A464" t="s">
        <v>7</v>
      </c>
      <c r="B464">
        <v>5769</v>
      </c>
      <c r="C464">
        <v>2011</v>
      </c>
      <c r="D464">
        <v>6</v>
      </c>
      <c r="E464" s="6">
        <f t="shared" si="42"/>
        <v>40695</v>
      </c>
      <c r="F464" s="1">
        <v>461.67500999999999</v>
      </c>
      <c r="G464" s="1">
        <v>0</v>
      </c>
      <c r="H464" s="1">
        <v>0</v>
      </c>
      <c r="I464" s="1">
        <v>0</v>
      </c>
      <c r="J464" s="7">
        <f t="shared" si="43"/>
        <v>0</v>
      </c>
      <c r="K464" s="1">
        <f t="shared" si="44"/>
        <v>0</v>
      </c>
      <c r="L464" s="13" t="str">
        <f t="shared" si="45"/>
        <v/>
      </c>
      <c r="M464" s="1">
        <v>0</v>
      </c>
      <c r="N464" s="1">
        <v>115810.712320017</v>
      </c>
      <c r="O464" t="str">
        <f t="shared" si="46"/>
        <v>Injector</v>
      </c>
      <c r="P464" s="15">
        <f t="shared" si="47"/>
        <v>0.64121529166666669</v>
      </c>
    </row>
    <row r="465" spans="1:16" x14ac:dyDescent="0.35">
      <c r="A465" t="s">
        <v>7</v>
      </c>
      <c r="B465">
        <v>5769</v>
      </c>
      <c r="C465">
        <v>2011</v>
      </c>
      <c r="D465">
        <v>7</v>
      </c>
      <c r="E465" s="6">
        <f t="shared" si="42"/>
        <v>40725</v>
      </c>
      <c r="F465" s="1">
        <v>242.50835000000001</v>
      </c>
      <c r="G465" s="1">
        <v>0</v>
      </c>
      <c r="H465" s="1">
        <v>0</v>
      </c>
      <c r="I465" s="1">
        <v>0</v>
      </c>
      <c r="J465" s="7">
        <f t="shared" si="43"/>
        <v>0</v>
      </c>
      <c r="K465" s="1">
        <f t="shared" si="44"/>
        <v>0</v>
      </c>
      <c r="L465" s="13" t="str">
        <f t="shared" si="45"/>
        <v/>
      </c>
      <c r="M465" s="1">
        <v>0</v>
      </c>
      <c r="N465" s="1">
        <v>60234.670728750003</v>
      </c>
      <c r="O465" t="str">
        <f t="shared" si="46"/>
        <v>Injector</v>
      </c>
      <c r="P465" s="15">
        <f t="shared" si="47"/>
        <v>0.32595208333333336</v>
      </c>
    </row>
    <row r="466" spans="1:16" x14ac:dyDescent="0.35">
      <c r="A466" t="s">
        <v>7</v>
      </c>
      <c r="B466">
        <v>5769</v>
      </c>
      <c r="C466">
        <v>2011</v>
      </c>
      <c r="D466">
        <v>8</v>
      </c>
      <c r="E466" s="6">
        <f t="shared" si="42"/>
        <v>40756</v>
      </c>
      <c r="F466" s="1">
        <v>644.49167999999997</v>
      </c>
      <c r="G466" s="1">
        <v>0</v>
      </c>
      <c r="H466" s="1">
        <v>0</v>
      </c>
      <c r="I466" s="1">
        <v>0</v>
      </c>
      <c r="J466" s="7">
        <f t="shared" si="43"/>
        <v>0</v>
      </c>
      <c r="K466" s="1">
        <f t="shared" si="44"/>
        <v>0</v>
      </c>
      <c r="L466" s="13" t="str">
        <f t="shared" si="45"/>
        <v/>
      </c>
      <c r="M466" s="1">
        <v>0</v>
      </c>
      <c r="N466" s="1">
        <v>161568.57176961299</v>
      </c>
      <c r="O466" t="str">
        <f t="shared" si="46"/>
        <v>Injector</v>
      </c>
      <c r="P466" s="15">
        <f t="shared" si="47"/>
        <v>0.86625225806451611</v>
      </c>
    </row>
    <row r="467" spans="1:16" x14ac:dyDescent="0.35">
      <c r="A467" t="s">
        <v>7</v>
      </c>
      <c r="B467">
        <v>5769</v>
      </c>
      <c r="C467">
        <v>2011</v>
      </c>
      <c r="D467">
        <v>9</v>
      </c>
      <c r="E467" s="6">
        <f t="shared" si="42"/>
        <v>40787</v>
      </c>
      <c r="F467" s="1">
        <v>688.5</v>
      </c>
      <c r="G467" s="1">
        <v>0</v>
      </c>
      <c r="H467" s="1">
        <v>0</v>
      </c>
      <c r="I467" s="1">
        <v>0</v>
      </c>
      <c r="J467" s="7">
        <f t="shared" si="43"/>
        <v>0</v>
      </c>
      <c r="K467" s="1">
        <f t="shared" si="44"/>
        <v>0</v>
      </c>
      <c r="L467" s="13" t="str">
        <f t="shared" si="45"/>
        <v/>
      </c>
      <c r="M467" s="1">
        <v>0</v>
      </c>
      <c r="N467" s="1">
        <v>185636.23752596899</v>
      </c>
      <c r="O467" t="str">
        <f t="shared" si="46"/>
        <v>Injector</v>
      </c>
      <c r="P467" s="15">
        <f t="shared" si="47"/>
        <v>0.95625000000000004</v>
      </c>
    </row>
    <row r="468" spans="1:16" x14ac:dyDescent="0.35">
      <c r="A468" t="s">
        <v>7</v>
      </c>
      <c r="B468">
        <v>5769</v>
      </c>
      <c r="C468">
        <v>2011</v>
      </c>
      <c r="D468">
        <v>10</v>
      </c>
      <c r="E468" s="6">
        <f t="shared" si="42"/>
        <v>40817</v>
      </c>
      <c r="F468" s="1">
        <v>328.63333</v>
      </c>
      <c r="G468" s="1">
        <v>0</v>
      </c>
      <c r="H468" s="1">
        <v>0</v>
      </c>
      <c r="I468" s="1">
        <v>0</v>
      </c>
      <c r="J468" s="7">
        <f t="shared" si="43"/>
        <v>0</v>
      </c>
      <c r="K468" s="1">
        <f t="shared" si="44"/>
        <v>0</v>
      </c>
      <c r="L468" s="13" t="str">
        <f t="shared" si="45"/>
        <v/>
      </c>
      <c r="M468" s="1">
        <v>0</v>
      </c>
      <c r="N468" s="1">
        <v>86121.098252083306</v>
      </c>
      <c r="O468" t="str">
        <f t="shared" si="46"/>
        <v>Injector</v>
      </c>
      <c r="P468" s="15">
        <f t="shared" si="47"/>
        <v>0.44171146505376346</v>
      </c>
    </row>
    <row r="469" spans="1:16" x14ac:dyDescent="0.35">
      <c r="A469" t="s">
        <v>7</v>
      </c>
      <c r="B469">
        <v>5769</v>
      </c>
      <c r="C469">
        <v>2011</v>
      </c>
      <c r="D469">
        <v>11</v>
      </c>
      <c r="E469" s="6">
        <f t="shared" si="42"/>
        <v>40848</v>
      </c>
      <c r="F469" s="1">
        <v>475.41665999999998</v>
      </c>
      <c r="G469" s="1">
        <v>0</v>
      </c>
      <c r="H469" s="1">
        <v>0</v>
      </c>
      <c r="I469" s="1">
        <v>0</v>
      </c>
      <c r="J469" s="7">
        <f t="shared" si="43"/>
        <v>0</v>
      </c>
      <c r="K469" s="1">
        <f t="shared" si="44"/>
        <v>0</v>
      </c>
      <c r="L469" s="13" t="str">
        <f t="shared" si="45"/>
        <v/>
      </c>
      <c r="M469" s="1">
        <v>0</v>
      </c>
      <c r="N469" s="1">
        <v>111726.558581042</v>
      </c>
      <c r="O469" t="str">
        <f t="shared" si="46"/>
        <v>Injector</v>
      </c>
      <c r="P469" s="15">
        <f t="shared" si="47"/>
        <v>0.66030091666666668</v>
      </c>
    </row>
    <row r="470" spans="1:16" x14ac:dyDescent="0.35">
      <c r="A470" t="s">
        <v>7</v>
      </c>
      <c r="B470">
        <v>5769</v>
      </c>
      <c r="C470">
        <v>2011</v>
      </c>
      <c r="D470">
        <v>12</v>
      </c>
      <c r="E470" s="6">
        <f t="shared" si="42"/>
        <v>40878</v>
      </c>
      <c r="F470" s="1">
        <v>438.8</v>
      </c>
      <c r="G470" s="1">
        <v>0</v>
      </c>
      <c r="H470" s="1">
        <v>0</v>
      </c>
      <c r="I470" s="1">
        <v>0</v>
      </c>
      <c r="J470" s="7">
        <f t="shared" si="43"/>
        <v>0</v>
      </c>
      <c r="K470" s="1">
        <f t="shared" si="44"/>
        <v>0</v>
      </c>
      <c r="L470" s="13" t="str">
        <f t="shared" si="45"/>
        <v/>
      </c>
      <c r="M470" s="1">
        <v>0</v>
      </c>
      <c r="N470" s="1">
        <v>106760.272394792</v>
      </c>
      <c r="O470" t="str">
        <f t="shared" si="46"/>
        <v>Injector</v>
      </c>
      <c r="P470" s="15">
        <f t="shared" si="47"/>
        <v>0.58978494623655919</v>
      </c>
    </row>
    <row r="471" spans="1:16" x14ac:dyDescent="0.35">
      <c r="A471" t="s">
        <v>7</v>
      </c>
      <c r="B471">
        <v>5769</v>
      </c>
      <c r="C471">
        <v>2012</v>
      </c>
      <c r="D471">
        <v>1</v>
      </c>
      <c r="E471" s="6">
        <f t="shared" si="42"/>
        <v>40909</v>
      </c>
      <c r="F471" s="1">
        <v>423.99999000000003</v>
      </c>
      <c r="G471" s="1">
        <v>0</v>
      </c>
      <c r="H471" s="1">
        <v>0</v>
      </c>
      <c r="I471" s="1">
        <v>0</v>
      </c>
      <c r="J471" s="7">
        <f t="shared" si="43"/>
        <v>0</v>
      </c>
      <c r="K471" s="1">
        <f t="shared" si="44"/>
        <v>0</v>
      </c>
      <c r="L471" s="13" t="str">
        <f t="shared" si="45"/>
        <v/>
      </c>
      <c r="M471" s="1">
        <v>0</v>
      </c>
      <c r="N471" s="1">
        <v>96145.249733958306</v>
      </c>
      <c r="O471" t="str">
        <f t="shared" si="46"/>
        <v>Injector</v>
      </c>
      <c r="P471" s="15">
        <f t="shared" si="47"/>
        <v>0.56989245967741942</v>
      </c>
    </row>
    <row r="472" spans="1:16" x14ac:dyDescent="0.35">
      <c r="A472" t="s">
        <v>7</v>
      </c>
      <c r="B472">
        <v>5769</v>
      </c>
      <c r="C472">
        <v>2012</v>
      </c>
      <c r="D472">
        <v>2</v>
      </c>
      <c r="E472" s="6">
        <f t="shared" si="42"/>
        <v>40940</v>
      </c>
      <c r="F472" s="1">
        <v>690.91665999999998</v>
      </c>
      <c r="G472" s="1">
        <v>0</v>
      </c>
      <c r="H472" s="1">
        <v>0</v>
      </c>
      <c r="I472" s="1">
        <v>0</v>
      </c>
      <c r="J472" s="7">
        <f t="shared" si="43"/>
        <v>0</v>
      </c>
      <c r="K472" s="1">
        <f t="shared" si="44"/>
        <v>0</v>
      </c>
      <c r="L472" s="13" t="str">
        <f t="shared" si="45"/>
        <v/>
      </c>
      <c r="M472" s="1">
        <v>0</v>
      </c>
      <c r="N472" s="1">
        <v>144177.13334875001</v>
      </c>
      <c r="O472" t="str">
        <f t="shared" si="46"/>
        <v>Injector</v>
      </c>
      <c r="P472" s="15">
        <f t="shared" si="47"/>
        <v>0.99269635057471262</v>
      </c>
    </row>
    <row r="473" spans="1:16" x14ac:dyDescent="0.35">
      <c r="A473" t="s">
        <v>7</v>
      </c>
      <c r="B473">
        <v>5769</v>
      </c>
      <c r="C473">
        <v>2012</v>
      </c>
      <c r="D473">
        <v>3</v>
      </c>
      <c r="E473" s="6">
        <f t="shared" si="42"/>
        <v>40969</v>
      </c>
      <c r="F473" s="1">
        <v>737.20834000000002</v>
      </c>
      <c r="G473" s="1">
        <v>0</v>
      </c>
      <c r="H473" s="1">
        <v>0</v>
      </c>
      <c r="I473" s="1">
        <v>0</v>
      </c>
      <c r="J473" s="7">
        <f t="shared" si="43"/>
        <v>0</v>
      </c>
      <c r="K473" s="1">
        <f t="shared" si="44"/>
        <v>0</v>
      </c>
      <c r="L473" s="13" t="str">
        <f t="shared" si="45"/>
        <v/>
      </c>
      <c r="M473" s="1">
        <v>0</v>
      </c>
      <c r="N473" s="1">
        <v>144901.31179381299</v>
      </c>
      <c r="O473" t="str">
        <f t="shared" si="46"/>
        <v>Injector</v>
      </c>
      <c r="P473" s="15">
        <f t="shared" si="47"/>
        <v>0.99087142473118284</v>
      </c>
    </row>
    <row r="474" spans="1:16" x14ac:dyDescent="0.35">
      <c r="A474" t="s">
        <v>7</v>
      </c>
      <c r="B474">
        <v>5769</v>
      </c>
      <c r="C474">
        <v>2012</v>
      </c>
      <c r="D474">
        <v>4</v>
      </c>
      <c r="E474" s="6">
        <f t="shared" si="42"/>
        <v>41000</v>
      </c>
      <c r="F474" s="1">
        <v>720</v>
      </c>
      <c r="G474" s="1">
        <v>0</v>
      </c>
      <c r="H474" s="1">
        <v>0</v>
      </c>
      <c r="I474" s="1">
        <v>0</v>
      </c>
      <c r="J474" s="7">
        <f t="shared" si="43"/>
        <v>0</v>
      </c>
      <c r="K474" s="1">
        <f t="shared" si="44"/>
        <v>0</v>
      </c>
      <c r="L474" s="13" t="str">
        <f t="shared" si="45"/>
        <v/>
      </c>
      <c r="M474" s="1">
        <v>0</v>
      </c>
      <c r="N474" s="1">
        <v>152913.710860625</v>
      </c>
      <c r="O474" t="str">
        <f t="shared" si="46"/>
        <v>Injector</v>
      </c>
      <c r="P474" s="15">
        <f t="shared" si="47"/>
        <v>1</v>
      </c>
    </row>
    <row r="475" spans="1:16" x14ac:dyDescent="0.35">
      <c r="A475" t="s">
        <v>7</v>
      </c>
      <c r="B475">
        <v>5769</v>
      </c>
      <c r="C475">
        <v>2012</v>
      </c>
      <c r="D475">
        <v>5</v>
      </c>
      <c r="E475" s="6">
        <f t="shared" si="42"/>
        <v>41030</v>
      </c>
      <c r="F475" s="1">
        <v>732.33334000000002</v>
      </c>
      <c r="G475" s="1">
        <v>0</v>
      </c>
      <c r="H475" s="1">
        <v>0</v>
      </c>
      <c r="I475" s="1">
        <v>0</v>
      </c>
      <c r="J475" s="7">
        <f t="shared" si="43"/>
        <v>0</v>
      </c>
      <c r="K475" s="1">
        <f t="shared" si="44"/>
        <v>0</v>
      </c>
      <c r="L475" s="13" t="str">
        <f t="shared" si="45"/>
        <v/>
      </c>
      <c r="M475" s="1">
        <v>0</v>
      </c>
      <c r="N475" s="1">
        <v>157759.44759291699</v>
      </c>
      <c r="O475" t="str">
        <f t="shared" si="46"/>
        <v>Injector</v>
      </c>
      <c r="P475" s="15">
        <f t="shared" si="47"/>
        <v>0.98431900537634409</v>
      </c>
    </row>
    <row r="476" spans="1:16" x14ac:dyDescent="0.35">
      <c r="A476" t="s">
        <v>7</v>
      </c>
      <c r="B476">
        <v>5769</v>
      </c>
      <c r="C476">
        <v>2012</v>
      </c>
      <c r="D476">
        <v>6</v>
      </c>
      <c r="E476" s="6">
        <f t="shared" si="42"/>
        <v>41061</v>
      </c>
      <c r="F476" s="1">
        <v>710.66666999999995</v>
      </c>
      <c r="G476" s="1">
        <v>0</v>
      </c>
      <c r="H476" s="1">
        <v>0</v>
      </c>
      <c r="I476" s="1">
        <v>0</v>
      </c>
      <c r="J476" s="7">
        <f t="shared" si="43"/>
        <v>0</v>
      </c>
      <c r="K476" s="1">
        <f t="shared" si="44"/>
        <v>0</v>
      </c>
      <c r="L476" s="13" t="str">
        <f t="shared" si="45"/>
        <v/>
      </c>
      <c r="M476" s="1">
        <v>0</v>
      </c>
      <c r="N476" s="1">
        <v>147174.91634791699</v>
      </c>
      <c r="O476" t="str">
        <f t="shared" si="46"/>
        <v>Injector</v>
      </c>
      <c r="P476" s="15">
        <f t="shared" si="47"/>
        <v>0.98703704166666661</v>
      </c>
    </row>
    <row r="477" spans="1:16" x14ac:dyDescent="0.35">
      <c r="A477" t="s">
        <v>7</v>
      </c>
      <c r="B477">
        <v>5769</v>
      </c>
      <c r="C477">
        <v>2012</v>
      </c>
      <c r="D477">
        <v>7</v>
      </c>
      <c r="E477" s="6">
        <f t="shared" si="42"/>
        <v>41091</v>
      </c>
      <c r="F477" s="1">
        <v>740.33333000000005</v>
      </c>
      <c r="G477" s="1">
        <v>0</v>
      </c>
      <c r="H477" s="1">
        <v>0</v>
      </c>
      <c r="I477" s="1">
        <v>0</v>
      </c>
      <c r="J477" s="7">
        <f t="shared" si="43"/>
        <v>0</v>
      </c>
      <c r="K477" s="1">
        <f t="shared" si="44"/>
        <v>0</v>
      </c>
      <c r="L477" s="13" t="str">
        <f t="shared" si="45"/>
        <v/>
      </c>
      <c r="M477" s="1">
        <v>0</v>
      </c>
      <c r="N477" s="1">
        <v>155141.689089375</v>
      </c>
      <c r="O477" t="str">
        <f t="shared" si="46"/>
        <v>Injector</v>
      </c>
      <c r="P477" s="15">
        <f t="shared" si="47"/>
        <v>0.99507168010752689</v>
      </c>
    </row>
    <row r="478" spans="1:16" x14ac:dyDescent="0.35">
      <c r="A478" t="s">
        <v>7</v>
      </c>
      <c r="B478">
        <v>5769</v>
      </c>
      <c r="C478">
        <v>2012</v>
      </c>
      <c r="D478">
        <v>8</v>
      </c>
      <c r="E478" s="6">
        <f t="shared" si="42"/>
        <v>41122</v>
      </c>
      <c r="F478" s="1">
        <v>309.12499000000003</v>
      </c>
      <c r="G478" s="1">
        <v>0</v>
      </c>
      <c r="H478" s="1">
        <v>0</v>
      </c>
      <c r="I478" s="1">
        <v>0</v>
      </c>
      <c r="J478" s="7">
        <f t="shared" si="43"/>
        <v>0</v>
      </c>
      <c r="K478" s="1">
        <f t="shared" si="44"/>
        <v>0</v>
      </c>
      <c r="L478" s="13" t="str">
        <f t="shared" si="45"/>
        <v/>
      </c>
      <c r="M478" s="1">
        <v>0</v>
      </c>
      <c r="N478" s="1">
        <v>65973.970818958303</v>
      </c>
      <c r="O478" t="str">
        <f t="shared" si="46"/>
        <v>Injector</v>
      </c>
      <c r="P478" s="15">
        <f t="shared" si="47"/>
        <v>0.41549057795698929</v>
      </c>
    </row>
    <row r="479" spans="1:16" x14ac:dyDescent="0.35">
      <c r="A479" t="s">
        <v>7</v>
      </c>
      <c r="B479">
        <v>5769</v>
      </c>
      <c r="C479">
        <v>2012</v>
      </c>
      <c r="D479">
        <v>9</v>
      </c>
      <c r="E479" s="6">
        <f t="shared" si="42"/>
        <v>41153</v>
      </c>
      <c r="F479" s="1">
        <v>37.283340000000003</v>
      </c>
      <c r="G479" s="1">
        <v>0</v>
      </c>
      <c r="H479" s="1">
        <v>0</v>
      </c>
      <c r="I479" s="1">
        <v>0</v>
      </c>
      <c r="J479" s="7">
        <f t="shared" si="43"/>
        <v>0</v>
      </c>
      <c r="K479" s="1">
        <f t="shared" si="44"/>
        <v>0</v>
      </c>
      <c r="L479" s="13" t="str">
        <f t="shared" si="45"/>
        <v/>
      </c>
      <c r="M479" s="1">
        <v>0</v>
      </c>
      <c r="N479" s="1">
        <v>8067.4513431249998</v>
      </c>
      <c r="O479" t="str">
        <f t="shared" si="46"/>
        <v>Injector</v>
      </c>
      <c r="P479" s="15">
        <f t="shared" si="47"/>
        <v>5.1782416666666671E-2</v>
      </c>
    </row>
    <row r="480" spans="1:16" x14ac:dyDescent="0.35">
      <c r="A480" t="s">
        <v>7</v>
      </c>
      <c r="B480">
        <v>5769</v>
      </c>
      <c r="C480">
        <v>2012</v>
      </c>
      <c r="D480">
        <v>10</v>
      </c>
      <c r="E480" s="6">
        <f t="shared" si="42"/>
        <v>41183</v>
      </c>
      <c r="F480" s="1">
        <v>538.16665999999998</v>
      </c>
      <c r="G480" s="1">
        <v>0</v>
      </c>
      <c r="H480" s="1">
        <v>0</v>
      </c>
      <c r="I480" s="1">
        <v>0</v>
      </c>
      <c r="J480" s="7">
        <f t="shared" si="43"/>
        <v>0</v>
      </c>
      <c r="K480" s="1">
        <f t="shared" si="44"/>
        <v>0</v>
      </c>
      <c r="L480" s="13" t="str">
        <f t="shared" si="45"/>
        <v/>
      </c>
      <c r="M480" s="1">
        <v>0</v>
      </c>
      <c r="N480" s="1">
        <v>118485.32129791701</v>
      </c>
      <c r="O480" t="str">
        <f t="shared" si="46"/>
        <v>Injector</v>
      </c>
      <c r="P480" s="15">
        <f t="shared" si="47"/>
        <v>0.72334228494623654</v>
      </c>
    </row>
    <row r="481" spans="1:16" x14ac:dyDescent="0.35">
      <c r="A481" t="s">
        <v>7</v>
      </c>
      <c r="B481">
        <v>5769</v>
      </c>
      <c r="C481">
        <v>2012</v>
      </c>
      <c r="D481">
        <v>11</v>
      </c>
      <c r="E481" s="6">
        <f t="shared" si="42"/>
        <v>41214</v>
      </c>
      <c r="F481" s="1">
        <v>720</v>
      </c>
      <c r="G481" s="1">
        <v>0</v>
      </c>
      <c r="H481" s="1">
        <v>0</v>
      </c>
      <c r="I481" s="1">
        <v>0</v>
      </c>
      <c r="J481" s="7">
        <f t="shared" si="43"/>
        <v>0</v>
      </c>
      <c r="K481" s="1">
        <f t="shared" si="44"/>
        <v>0</v>
      </c>
      <c r="L481" s="13" t="str">
        <f t="shared" si="45"/>
        <v/>
      </c>
      <c r="M481" s="1">
        <v>0</v>
      </c>
      <c r="N481" s="1">
        <v>168629.702521667</v>
      </c>
      <c r="O481" t="str">
        <f t="shared" si="46"/>
        <v>Injector</v>
      </c>
      <c r="P481" s="15">
        <f t="shared" si="47"/>
        <v>1</v>
      </c>
    </row>
    <row r="482" spans="1:16" x14ac:dyDescent="0.35">
      <c r="A482" t="s">
        <v>7</v>
      </c>
      <c r="B482">
        <v>5769</v>
      </c>
      <c r="C482">
        <v>2012</v>
      </c>
      <c r="D482">
        <v>12</v>
      </c>
      <c r="E482" s="6">
        <f t="shared" si="42"/>
        <v>41244</v>
      </c>
      <c r="F482" s="1">
        <v>697.83335</v>
      </c>
      <c r="G482" s="1">
        <v>0</v>
      </c>
      <c r="H482" s="1">
        <v>0</v>
      </c>
      <c r="I482" s="1">
        <v>0</v>
      </c>
      <c r="J482" s="7">
        <f t="shared" si="43"/>
        <v>0</v>
      </c>
      <c r="K482" s="1">
        <f t="shared" si="44"/>
        <v>0</v>
      </c>
      <c r="L482" s="13" t="str">
        <f t="shared" si="45"/>
        <v/>
      </c>
      <c r="M482" s="1">
        <v>0</v>
      </c>
      <c r="N482" s="1">
        <v>154926.22132708301</v>
      </c>
      <c r="O482" t="str">
        <f t="shared" si="46"/>
        <v>Injector</v>
      </c>
      <c r="P482" s="15">
        <f t="shared" si="47"/>
        <v>0.9379480510752688</v>
      </c>
    </row>
    <row r="483" spans="1:16" x14ac:dyDescent="0.35">
      <c r="A483" t="s">
        <v>7</v>
      </c>
      <c r="B483">
        <v>5769</v>
      </c>
      <c r="C483">
        <v>2013</v>
      </c>
      <c r="D483">
        <v>1</v>
      </c>
      <c r="E483" s="6">
        <f t="shared" si="42"/>
        <v>41275</v>
      </c>
      <c r="F483" s="1">
        <v>732.25</v>
      </c>
      <c r="G483" s="1">
        <v>0</v>
      </c>
      <c r="H483" s="1">
        <v>0</v>
      </c>
      <c r="I483" s="1">
        <v>0</v>
      </c>
      <c r="J483" s="7">
        <f t="shared" si="43"/>
        <v>0</v>
      </c>
      <c r="K483" s="1">
        <f t="shared" si="44"/>
        <v>0</v>
      </c>
      <c r="L483" s="13" t="str">
        <f t="shared" si="45"/>
        <v/>
      </c>
      <c r="M483" s="1">
        <v>0</v>
      </c>
      <c r="N483" s="1">
        <v>159939.68638887501</v>
      </c>
      <c r="O483" t="str">
        <f t="shared" si="46"/>
        <v>Injector</v>
      </c>
      <c r="P483" s="15">
        <f t="shared" si="47"/>
        <v>0.98420698924731187</v>
      </c>
    </row>
    <row r="484" spans="1:16" x14ac:dyDescent="0.35">
      <c r="A484" t="s">
        <v>7</v>
      </c>
      <c r="B484">
        <v>5769</v>
      </c>
      <c r="C484">
        <v>2013</v>
      </c>
      <c r="D484">
        <v>2</v>
      </c>
      <c r="E484" s="6">
        <f t="shared" si="42"/>
        <v>41306</v>
      </c>
      <c r="F484" s="1">
        <v>672</v>
      </c>
      <c r="G484" s="1">
        <v>0</v>
      </c>
      <c r="H484" s="1">
        <v>0</v>
      </c>
      <c r="I484" s="1">
        <v>0</v>
      </c>
      <c r="J484" s="7">
        <f t="shared" si="43"/>
        <v>0</v>
      </c>
      <c r="K484" s="1">
        <f t="shared" si="44"/>
        <v>0</v>
      </c>
      <c r="L484" s="13" t="str">
        <f t="shared" si="45"/>
        <v/>
      </c>
      <c r="M484" s="1">
        <v>0</v>
      </c>
      <c r="N484" s="1">
        <v>147798.46481812501</v>
      </c>
      <c r="O484" t="str">
        <f t="shared" si="46"/>
        <v>Injector</v>
      </c>
      <c r="P484" s="15">
        <f t="shared" si="47"/>
        <v>1</v>
      </c>
    </row>
    <row r="485" spans="1:16" x14ac:dyDescent="0.35">
      <c r="A485" t="s">
        <v>7</v>
      </c>
      <c r="B485">
        <v>5769</v>
      </c>
      <c r="C485">
        <v>2013</v>
      </c>
      <c r="D485">
        <v>3</v>
      </c>
      <c r="E485" s="6">
        <f t="shared" si="42"/>
        <v>41334</v>
      </c>
      <c r="F485" s="1">
        <v>400.46668</v>
      </c>
      <c r="G485" s="1">
        <v>0</v>
      </c>
      <c r="H485" s="1">
        <v>0</v>
      </c>
      <c r="I485" s="1">
        <v>0</v>
      </c>
      <c r="J485" s="7">
        <f t="shared" si="43"/>
        <v>0</v>
      </c>
      <c r="K485" s="1">
        <f t="shared" si="44"/>
        <v>0</v>
      </c>
      <c r="L485" s="13" t="str">
        <f t="shared" si="45"/>
        <v/>
      </c>
      <c r="M485" s="1">
        <v>0</v>
      </c>
      <c r="N485" s="1">
        <v>85998.065148958296</v>
      </c>
      <c r="O485" t="str">
        <f t="shared" si="46"/>
        <v>Injector</v>
      </c>
      <c r="P485" s="15">
        <f t="shared" si="47"/>
        <v>0.53826166666666664</v>
      </c>
    </row>
    <row r="486" spans="1:16" x14ac:dyDescent="0.35">
      <c r="A486" t="s">
        <v>7</v>
      </c>
      <c r="B486">
        <v>5769</v>
      </c>
      <c r="C486">
        <v>2013</v>
      </c>
      <c r="D486">
        <v>4</v>
      </c>
      <c r="E486" s="6">
        <f t="shared" si="42"/>
        <v>41365</v>
      </c>
      <c r="F486" s="1">
        <v>561.16831999999999</v>
      </c>
      <c r="G486" s="1">
        <v>0</v>
      </c>
      <c r="H486" s="1">
        <v>0</v>
      </c>
      <c r="I486" s="1">
        <v>0</v>
      </c>
      <c r="J486" s="7">
        <f t="shared" si="43"/>
        <v>0</v>
      </c>
      <c r="K486" s="1">
        <f t="shared" si="44"/>
        <v>0</v>
      </c>
      <c r="L486" s="13" t="str">
        <f t="shared" si="45"/>
        <v/>
      </c>
      <c r="M486" s="1">
        <v>0</v>
      </c>
      <c r="N486" s="1">
        <v>121656.595674375</v>
      </c>
      <c r="O486" t="str">
        <f t="shared" si="46"/>
        <v>Injector</v>
      </c>
      <c r="P486" s="15">
        <f t="shared" si="47"/>
        <v>0.77940044444444445</v>
      </c>
    </row>
    <row r="487" spans="1:16" x14ac:dyDescent="0.35">
      <c r="A487" t="s">
        <v>7</v>
      </c>
      <c r="B487">
        <v>5769</v>
      </c>
      <c r="C487">
        <v>2013</v>
      </c>
      <c r="D487">
        <v>5</v>
      </c>
      <c r="E487" s="6">
        <f t="shared" si="42"/>
        <v>41395</v>
      </c>
      <c r="F487" s="1">
        <v>681.3</v>
      </c>
      <c r="G487" s="1">
        <v>0</v>
      </c>
      <c r="H487" s="1">
        <v>0</v>
      </c>
      <c r="I487" s="1">
        <v>0</v>
      </c>
      <c r="J487" s="7">
        <f t="shared" si="43"/>
        <v>0</v>
      </c>
      <c r="K487" s="1">
        <f t="shared" si="44"/>
        <v>0</v>
      </c>
      <c r="L487" s="13" t="str">
        <f t="shared" si="45"/>
        <v/>
      </c>
      <c r="M487" s="1">
        <v>0</v>
      </c>
      <c r="N487" s="1">
        <v>170935.46596812501</v>
      </c>
      <c r="O487" t="str">
        <f t="shared" si="46"/>
        <v>Injector</v>
      </c>
      <c r="P487" s="15">
        <f t="shared" si="47"/>
        <v>0.91572580645161283</v>
      </c>
    </row>
    <row r="488" spans="1:16" x14ac:dyDescent="0.35">
      <c r="A488" t="s">
        <v>7</v>
      </c>
      <c r="B488">
        <v>5769</v>
      </c>
      <c r="C488">
        <v>2013</v>
      </c>
      <c r="D488">
        <v>6</v>
      </c>
      <c r="E488" s="6">
        <f t="shared" si="42"/>
        <v>41426</v>
      </c>
      <c r="F488" s="1">
        <v>573.24999000000003</v>
      </c>
      <c r="G488" s="1">
        <v>0</v>
      </c>
      <c r="H488" s="1">
        <v>0</v>
      </c>
      <c r="I488" s="1">
        <v>0</v>
      </c>
      <c r="J488" s="7">
        <f t="shared" si="43"/>
        <v>0</v>
      </c>
      <c r="K488" s="1">
        <f t="shared" si="44"/>
        <v>0</v>
      </c>
      <c r="L488" s="13" t="str">
        <f t="shared" si="45"/>
        <v/>
      </c>
      <c r="M488" s="1">
        <v>0</v>
      </c>
      <c r="N488" s="1">
        <v>138629.205471875</v>
      </c>
      <c r="O488" t="str">
        <f t="shared" si="46"/>
        <v>Injector</v>
      </c>
      <c r="P488" s="15">
        <f t="shared" si="47"/>
        <v>0.79618054166666674</v>
      </c>
    </row>
    <row r="489" spans="1:16" x14ac:dyDescent="0.35">
      <c r="A489" t="s">
        <v>7</v>
      </c>
      <c r="B489">
        <v>5769</v>
      </c>
      <c r="C489">
        <v>2013</v>
      </c>
      <c r="D489">
        <v>7</v>
      </c>
      <c r="E489" s="6">
        <f t="shared" si="42"/>
        <v>41456</v>
      </c>
      <c r="F489" s="1">
        <v>654.29166999999995</v>
      </c>
      <c r="G489" s="1">
        <v>0</v>
      </c>
      <c r="H489" s="1">
        <v>0</v>
      </c>
      <c r="I489" s="1">
        <v>0</v>
      </c>
      <c r="J489" s="7">
        <f t="shared" si="43"/>
        <v>0</v>
      </c>
      <c r="K489" s="1">
        <f t="shared" si="44"/>
        <v>0</v>
      </c>
      <c r="L489" s="13" t="str">
        <f t="shared" si="45"/>
        <v/>
      </c>
      <c r="M489" s="1">
        <v>0</v>
      </c>
      <c r="N489" s="1">
        <v>131248.921444167</v>
      </c>
      <c r="O489" t="str">
        <f t="shared" si="46"/>
        <v>Injector</v>
      </c>
      <c r="P489" s="15">
        <f t="shared" si="47"/>
        <v>0.8794242876344085</v>
      </c>
    </row>
    <row r="490" spans="1:16" x14ac:dyDescent="0.35">
      <c r="A490" t="s">
        <v>7</v>
      </c>
      <c r="B490">
        <v>5769</v>
      </c>
      <c r="C490">
        <v>2013</v>
      </c>
      <c r="D490">
        <v>8</v>
      </c>
      <c r="E490" s="6">
        <f t="shared" si="42"/>
        <v>41487</v>
      </c>
      <c r="F490" s="1">
        <v>687.05</v>
      </c>
      <c r="G490" s="1">
        <v>0</v>
      </c>
      <c r="H490" s="1">
        <v>0</v>
      </c>
      <c r="I490" s="1">
        <v>0</v>
      </c>
      <c r="J490" s="7">
        <f t="shared" si="43"/>
        <v>0</v>
      </c>
      <c r="K490" s="1">
        <f t="shared" si="44"/>
        <v>0</v>
      </c>
      <c r="L490" s="13" t="str">
        <f t="shared" si="45"/>
        <v/>
      </c>
      <c r="M490" s="1">
        <v>0</v>
      </c>
      <c r="N490" s="1">
        <v>185791.65160104199</v>
      </c>
      <c r="O490" t="str">
        <f t="shared" si="46"/>
        <v>Injector</v>
      </c>
      <c r="P490" s="15">
        <f t="shared" si="47"/>
        <v>0.92345430107526871</v>
      </c>
    </row>
    <row r="491" spans="1:16" x14ac:dyDescent="0.35">
      <c r="A491" t="s">
        <v>7</v>
      </c>
      <c r="B491">
        <v>5769</v>
      </c>
      <c r="C491">
        <v>2013</v>
      </c>
      <c r="D491">
        <v>9</v>
      </c>
      <c r="E491" s="6">
        <f t="shared" si="42"/>
        <v>41518</v>
      </c>
      <c r="F491" s="1">
        <v>608.92499999999995</v>
      </c>
      <c r="G491" s="1">
        <v>0</v>
      </c>
      <c r="H491" s="1">
        <v>0</v>
      </c>
      <c r="I491" s="1">
        <v>0</v>
      </c>
      <c r="J491" s="7">
        <f t="shared" si="43"/>
        <v>0</v>
      </c>
      <c r="K491" s="1">
        <f t="shared" si="44"/>
        <v>0</v>
      </c>
      <c r="L491" s="13" t="str">
        <f t="shared" si="45"/>
        <v/>
      </c>
      <c r="M491" s="1">
        <v>0</v>
      </c>
      <c r="N491" s="1">
        <v>141322.974441042</v>
      </c>
      <c r="O491" t="str">
        <f t="shared" si="46"/>
        <v>Injector</v>
      </c>
      <c r="P491" s="15">
        <f t="shared" si="47"/>
        <v>0.84572916666666664</v>
      </c>
    </row>
    <row r="492" spans="1:16" x14ac:dyDescent="0.35">
      <c r="A492" t="s">
        <v>7</v>
      </c>
      <c r="B492">
        <v>5769</v>
      </c>
      <c r="C492">
        <v>2013</v>
      </c>
      <c r="D492">
        <v>10</v>
      </c>
      <c r="E492" s="6">
        <f t="shared" si="42"/>
        <v>41548</v>
      </c>
      <c r="F492" s="1">
        <v>654.41668000000004</v>
      </c>
      <c r="G492" s="1">
        <v>0</v>
      </c>
      <c r="H492" s="1">
        <v>0</v>
      </c>
      <c r="I492" s="1">
        <v>0</v>
      </c>
      <c r="J492" s="7">
        <f t="shared" si="43"/>
        <v>0</v>
      </c>
      <c r="K492" s="1">
        <f t="shared" si="44"/>
        <v>0</v>
      </c>
      <c r="L492" s="13" t="str">
        <f t="shared" si="45"/>
        <v/>
      </c>
      <c r="M492" s="1">
        <v>0</v>
      </c>
      <c r="N492" s="1">
        <v>167622.051632708</v>
      </c>
      <c r="O492" t="str">
        <f t="shared" si="46"/>
        <v>Injector</v>
      </c>
      <c r="P492" s="15">
        <f t="shared" si="47"/>
        <v>0.87959231182795705</v>
      </c>
    </row>
    <row r="493" spans="1:16" x14ac:dyDescent="0.35">
      <c r="A493" t="s">
        <v>7</v>
      </c>
      <c r="B493">
        <v>5769</v>
      </c>
      <c r="C493">
        <v>2013</v>
      </c>
      <c r="D493">
        <v>11</v>
      </c>
      <c r="E493" s="6">
        <f t="shared" si="42"/>
        <v>41579</v>
      </c>
      <c r="F493" s="1">
        <v>681.66666999999995</v>
      </c>
      <c r="G493" s="1">
        <v>0</v>
      </c>
      <c r="H493" s="1">
        <v>0</v>
      </c>
      <c r="I493" s="1">
        <v>0</v>
      </c>
      <c r="J493" s="7">
        <f t="shared" si="43"/>
        <v>0</v>
      </c>
      <c r="K493" s="1">
        <f t="shared" si="44"/>
        <v>0</v>
      </c>
      <c r="L493" s="13" t="str">
        <f t="shared" si="45"/>
        <v/>
      </c>
      <c r="M493" s="1">
        <v>0</v>
      </c>
      <c r="N493" s="1">
        <v>167983.460903542</v>
      </c>
      <c r="O493" t="str">
        <f t="shared" si="46"/>
        <v>Injector</v>
      </c>
      <c r="P493" s="15">
        <f t="shared" si="47"/>
        <v>0.94675926388888887</v>
      </c>
    </row>
    <row r="494" spans="1:16" x14ac:dyDescent="0.35">
      <c r="A494" t="s">
        <v>7</v>
      </c>
      <c r="B494">
        <v>5769</v>
      </c>
      <c r="C494">
        <v>2013</v>
      </c>
      <c r="D494">
        <v>12</v>
      </c>
      <c r="E494" s="6">
        <f t="shared" si="42"/>
        <v>41609</v>
      </c>
      <c r="F494" s="1">
        <v>676.25</v>
      </c>
      <c r="G494" s="1">
        <v>0</v>
      </c>
      <c r="H494" s="1">
        <v>0</v>
      </c>
      <c r="I494" s="1">
        <v>0</v>
      </c>
      <c r="J494" s="7">
        <f t="shared" si="43"/>
        <v>0</v>
      </c>
      <c r="K494" s="1">
        <f t="shared" si="44"/>
        <v>0</v>
      </c>
      <c r="L494" s="13" t="str">
        <f t="shared" si="45"/>
        <v/>
      </c>
      <c r="M494" s="1">
        <v>0</v>
      </c>
      <c r="N494" s="1">
        <v>169674.00544562499</v>
      </c>
      <c r="O494" t="str">
        <f t="shared" si="46"/>
        <v>Injector</v>
      </c>
      <c r="P494" s="15">
        <f t="shared" si="47"/>
        <v>0.90893817204301075</v>
      </c>
    </row>
    <row r="495" spans="1:16" x14ac:dyDescent="0.35">
      <c r="A495" t="s">
        <v>7</v>
      </c>
      <c r="B495">
        <v>5769</v>
      </c>
      <c r="C495">
        <v>2014</v>
      </c>
      <c r="D495">
        <v>1</v>
      </c>
      <c r="E495" s="6">
        <f t="shared" si="42"/>
        <v>41640</v>
      </c>
      <c r="F495" s="1">
        <v>661.16666999999995</v>
      </c>
      <c r="G495" s="1">
        <v>0</v>
      </c>
      <c r="H495" s="1">
        <v>0</v>
      </c>
      <c r="I495" s="1">
        <v>0</v>
      </c>
      <c r="J495" s="7">
        <f t="shared" si="43"/>
        <v>0</v>
      </c>
      <c r="K495" s="1">
        <f t="shared" si="44"/>
        <v>0</v>
      </c>
      <c r="L495" s="13" t="str">
        <f t="shared" si="45"/>
        <v/>
      </c>
      <c r="M495" s="1">
        <v>0</v>
      </c>
      <c r="N495" s="1">
        <v>139161.96420812499</v>
      </c>
      <c r="O495" t="str">
        <f t="shared" si="46"/>
        <v>Injector</v>
      </c>
      <c r="P495" s="15">
        <f t="shared" si="47"/>
        <v>0.88866487903225799</v>
      </c>
    </row>
    <row r="496" spans="1:16" x14ac:dyDescent="0.35">
      <c r="A496" t="s">
        <v>7</v>
      </c>
      <c r="B496">
        <v>5769</v>
      </c>
      <c r="C496">
        <v>2014</v>
      </c>
      <c r="D496">
        <v>2</v>
      </c>
      <c r="E496" s="6">
        <f t="shared" si="42"/>
        <v>41671</v>
      </c>
      <c r="F496" s="1">
        <v>580.60833000000002</v>
      </c>
      <c r="G496" s="1">
        <v>0</v>
      </c>
      <c r="H496" s="1">
        <v>0</v>
      </c>
      <c r="I496" s="1">
        <v>0</v>
      </c>
      <c r="J496" s="7">
        <f t="shared" si="43"/>
        <v>0</v>
      </c>
      <c r="K496" s="1">
        <f t="shared" si="44"/>
        <v>0</v>
      </c>
      <c r="L496" s="13" t="str">
        <f t="shared" si="45"/>
        <v/>
      </c>
      <c r="M496" s="1">
        <v>0</v>
      </c>
      <c r="N496" s="1">
        <v>139875.10921729199</v>
      </c>
      <c r="O496" t="str">
        <f t="shared" si="46"/>
        <v>Injector</v>
      </c>
      <c r="P496" s="15">
        <f t="shared" si="47"/>
        <v>0.86400049107142862</v>
      </c>
    </row>
    <row r="497" spans="1:16" x14ac:dyDescent="0.35">
      <c r="A497" t="s">
        <v>7</v>
      </c>
      <c r="B497">
        <v>5769</v>
      </c>
      <c r="C497">
        <v>2014</v>
      </c>
      <c r="D497">
        <v>3</v>
      </c>
      <c r="E497" s="6">
        <f t="shared" si="42"/>
        <v>41699</v>
      </c>
      <c r="F497" s="1">
        <v>691.41666999999995</v>
      </c>
      <c r="G497" s="1">
        <v>0</v>
      </c>
      <c r="H497" s="1">
        <v>0</v>
      </c>
      <c r="I497" s="1">
        <v>0</v>
      </c>
      <c r="J497" s="7">
        <f t="shared" si="43"/>
        <v>0</v>
      </c>
      <c r="K497" s="1">
        <f t="shared" si="44"/>
        <v>0</v>
      </c>
      <c r="L497" s="13" t="str">
        <f t="shared" si="45"/>
        <v/>
      </c>
      <c r="M497" s="1">
        <v>0</v>
      </c>
      <c r="N497" s="1">
        <v>168354.400344828</v>
      </c>
      <c r="O497" t="str">
        <f t="shared" si="46"/>
        <v>Injector</v>
      </c>
      <c r="P497" s="15">
        <f t="shared" si="47"/>
        <v>0.92932348118279562</v>
      </c>
    </row>
    <row r="498" spans="1:16" x14ac:dyDescent="0.35">
      <c r="A498" t="s">
        <v>7</v>
      </c>
      <c r="B498">
        <v>5769</v>
      </c>
      <c r="C498">
        <v>2014</v>
      </c>
      <c r="D498">
        <v>4</v>
      </c>
      <c r="E498" s="6">
        <f t="shared" si="42"/>
        <v>41730</v>
      </c>
      <c r="F498" s="1">
        <v>707.54166999999995</v>
      </c>
      <c r="G498" s="1">
        <v>0</v>
      </c>
      <c r="H498" s="1">
        <v>0</v>
      </c>
      <c r="I498" s="1">
        <v>0</v>
      </c>
      <c r="J498" s="7">
        <f t="shared" si="43"/>
        <v>0</v>
      </c>
      <c r="K498" s="1">
        <f t="shared" si="44"/>
        <v>0</v>
      </c>
      <c r="L498" s="13" t="str">
        <f t="shared" si="45"/>
        <v/>
      </c>
      <c r="M498" s="1">
        <v>0</v>
      </c>
      <c r="N498" s="1">
        <v>170365.94510833299</v>
      </c>
      <c r="O498" t="str">
        <f t="shared" si="46"/>
        <v>Injector</v>
      </c>
      <c r="P498" s="15">
        <f t="shared" si="47"/>
        <v>0.98269676388888882</v>
      </c>
    </row>
    <row r="499" spans="1:16" x14ac:dyDescent="0.35">
      <c r="A499" t="s">
        <v>7</v>
      </c>
      <c r="B499">
        <v>5769</v>
      </c>
      <c r="C499">
        <v>2014</v>
      </c>
      <c r="D499">
        <v>5</v>
      </c>
      <c r="E499" s="6">
        <f t="shared" si="42"/>
        <v>41760</v>
      </c>
      <c r="F499" s="1">
        <v>606.33334000000002</v>
      </c>
      <c r="G499" s="1">
        <v>0</v>
      </c>
      <c r="H499" s="1">
        <v>0</v>
      </c>
      <c r="I499" s="1">
        <v>0</v>
      </c>
      <c r="J499" s="7">
        <f t="shared" si="43"/>
        <v>0</v>
      </c>
      <c r="K499" s="1">
        <f t="shared" si="44"/>
        <v>0</v>
      </c>
      <c r="L499" s="13" t="str">
        <f t="shared" si="45"/>
        <v/>
      </c>
      <c r="M499" s="1">
        <v>0</v>
      </c>
      <c r="N499" s="1">
        <v>155443.53009770799</v>
      </c>
      <c r="O499" t="str">
        <f t="shared" si="46"/>
        <v>Injector</v>
      </c>
      <c r="P499" s="15">
        <f t="shared" si="47"/>
        <v>0.81496416666666671</v>
      </c>
    </row>
    <row r="500" spans="1:16" x14ac:dyDescent="0.35">
      <c r="A500" t="s">
        <v>7</v>
      </c>
      <c r="B500">
        <v>5769</v>
      </c>
      <c r="C500">
        <v>2014</v>
      </c>
      <c r="D500">
        <v>6</v>
      </c>
      <c r="E500" s="6">
        <f t="shared" si="42"/>
        <v>41791</v>
      </c>
      <c r="F500" s="1">
        <v>699.08333000000005</v>
      </c>
      <c r="G500" s="1">
        <v>0</v>
      </c>
      <c r="H500" s="1">
        <v>0</v>
      </c>
      <c r="I500" s="1">
        <v>0</v>
      </c>
      <c r="J500" s="7">
        <f t="shared" si="43"/>
        <v>0</v>
      </c>
      <c r="K500" s="1">
        <f t="shared" si="44"/>
        <v>0</v>
      </c>
      <c r="L500" s="13" t="str">
        <f t="shared" si="45"/>
        <v/>
      </c>
      <c r="M500" s="1">
        <v>0</v>
      </c>
      <c r="N500" s="1">
        <v>170548.08144937499</v>
      </c>
      <c r="O500" t="str">
        <f t="shared" si="46"/>
        <v>Injector</v>
      </c>
      <c r="P500" s="15">
        <f t="shared" si="47"/>
        <v>0.97094906944444448</v>
      </c>
    </row>
    <row r="501" spans="1:16" x14ac:dyDescent="0.35">
      <c r="A501" t="s">
        <v>7</v>
      </c>
      <c r="B501">
        <v>5769</v>
      </c>
      <c r="C501">
        <v>2014</v>
      </c>
      <c r="D501">
        <v>7</v>
      </c>
      <c r="E501" s="6">
        <f t="shared" si="42"/>
        <v>41821</v>
      </c>
      <c r="F501" s="1">
        <v>742.33334000000002</v>
      </c>
      <c r="G501" s="1">
        <v>0</v>
      </c>
      <c r="H501" s="1">
        <v>0</v>
      </c>
      <c r="I501" s="1">
        <v>0</v>
      </c>
      <c r="J501" s="7">
        <f t="shared" si="43"/>
        <v>0</v>
      </c>
      <c r="K501" s="1">
        <f t="shared" si="44"/>
        <v>0</v>
      </c>
      <c r="L501" s="13" t="str">
        <f t="shared" si="45"/>
        <v/>
      </c>
      <c r="M501" s="1">
        <v>0</v>
      </c>
      <c r="N501" s="1">
        <v>149633.537327292</v>
      </c>
      <c r="O501" t="str">
        <f t="shared" si="46"/>
        <v>Injector</v>
      </c>
      <c r="P501" s="15">
        <f t="shared" si="47"/>
        <v>0.99775986559139784</v>
      </c>
    </row>
    <row r="502" spans="1:16" x14ac:dyDescent="0.35">
      <c r="A502" t="s">
        <v>7</v>
      </c>
      <c r="B502">
        <v>5769</v>
      </c>
      <c r="C502">
        <v>2014</v>
      </c>
      <c r="D502">
        <v>8</v>
      </c>
      <c r="E502" s="6">
        <f t="shared" si="42"/>
        <v>41852</v>
      </c>
      <c r="F502" s="1">
        <v>606.37963999999999</v>
      </c>
      <c r="G502" s="1">
        <v>0</v>
      </c>
      <c r="H502" s="1">
        <v>0</v>
      </c>
      <c r="I502" s="1">
        <v>0</v>
      </c>
      <c r="J502" s="7">
        <f t="shared" si="43"/>
        <v>0</v>
      </c>
      <c r="K502" s="1">
        <f t="shared" si="44"/>
        <v>0</v>
      </c>
      <c r="L502" s="13" t="str">
        <f t="shared" si="45"/>
        <v/>
      </c>
      <c r="M502" s="1">
        <v>0</v>
      </c>
      <c r="N502" s="1">
        <v>122109.851845</v>
      </c>
      <c r="O502" t="str">
        <f t="shared" si="46"/>
        <v>Injector</v>
      </c>
      <c r="P502" s="15">
        <f t="shared" si="47"/>
        <v>0.8150263978494624</v>
      </c>
    </row>
    <row r="503" spans="1:16" x14ac:dyDescent="0.35">
      <c r="A503" t="s">
        <v>7</v>
      </c>
      <c r="B503">
        <v>5769</v>
      </c>
      <c r="C503">
        <v>2014</v>
      </c>
      <c r="D503">
        <v>9</v>
      </c>
      <c r="E503" s="6">
        <f t="shared" si="42"/>
        <v>41883</v>
      </c>
      <c r="F503" s="1">
        <v>691.49999000000003</v>
      </c>
      <c r="G503" s="1">
        <v>0</v>
      </c>
      <c r="H503" s="1">
        <v>0</v>
      </c>
      <c r="I503" s="1">
        <v>0</v>
      </c>
      <c r="J503" s="7">
        <f t="shared" si="43"/>
        <v>0</v>
      </c>
      <c r="K503" s="1">
        <f t="shared" si="44"/>
        <v>0</v>
      </c>
      <c r="L503" s="13" t="str">
        <f t="shared" si="45"/>
        <v/>
      </c>
      <c r="M503" s="1">
        <v>0</v>
      </c>
      <c r="N503" s="1">
        <v>160662.468334167</v>
      </c>
      <c r="O503" t="str">
        <f t="shared" si="46"/>
        <v>Injector</v>
      </c>
      <c r="P503" s="15">
        <f t="shared" si="47"/>
        <v>0.96041665277777777</v>
      </c>
    </row>
    <row r="504" spans="1:16" x14ac:dyDescent="0.35">
      <c r="A504" t="s">
        <v>7</v>
      </c>
      <c r="B504">
        <v>5769</v>
      </c>
      <c r="C504">
        <v>2014</v>
      </c>
      <c r="D504">
        <v>10</v>
      </c>
      <c r="E504" s="6">
        <f t="shared" si="42"/>
        <v>41913</v>
      </c>
      <c r="F504" s="1">
        <v>741.83334000000002</v>
      </c>
      <c r="G504" s="1">
        <v>0</v>
      </c>
      <c r="H504" s="1">
        <v>0</v>
      </c>
      <c r="I504" s="1">
        <v>0</v>
      </c>
      <c r="J504" s="7">
        <f t="shared" si="43"/>
        <v>0</v>
      </c>
      <c r="K504" s="1">
        <f t="shared" si="44"/>
        <v>0</v>
      </c>
      <c r="L504" s="13" t="str">
        <f t="shared" si="45"/>
        <v/>
      </c>
      <c r="M504" s="1">
        <v>0</v>
      </c>
      <c r="N504" s="1">
        <v>166833.31391160801</v>
      </c>
      <c r="O504" t="str">
        <f t="shared" si="46"/>
        <v>Injector</v>
      </c>
      <c r="P504" s="15">
        <f t="shared" si="47"/>
        <v>0.99708782258064521</v>
      </c>
    </row>
    <row r="505" spans="1:16" x14ac:dyDescent="0.35">
      <c r="A505" t="s">
        <v>7</v>
      </c>
      <c r="B505">
        <v>5769</v>
      </c>
      <c r="C505">
        <v>2014</v>
      </c>
      <c r="D505">
        <v>11</v>
      </c>
      <c r="E505" s="6">
        <f t="shared" si="42"/>
        <v>41944</v>
      </c>
      <c r="F505" s="1">
        <v>660.55832999999996</v>
      </c>
      <c r="G505" s="1">
        <v>0</v>
      </c>
      <c r="H505" s="1">
        <v>0</v>
      </c>
      <c r="I505" s="1">
        <v>0</v>
      </c>
      <c r="J505" s="7">
        <f t="shared" si="43"/>
        <v>0</v>
      </c>
      <c r="K505" s="1">
        <f t="shared" si="44"/>
        <v>0</v>
      </c>
      <c r="L505" s="13" t="str">
        <f t="shared" si="45"/>
        <v/>
      </c>
      <c r="M505" s="1">
        <v>0</v>
      </c>
      <c r="N505" s="1">
        <v>146406.90984041701</v>
      </c>
      <c r="O505" t="str">
        <f t="shared" si="46"/>
        <v>Injector</v>
      </c>
      <c r="P505" s="15">
        <f t="shared" si="47"/>
        <v>0.91744212499999989</v>
      </c>
    </row>
    <row r="506" spans="1:16" x14ac:dyDescent="0.35">
      <c r="A506" t="s">
        <v>7</v>
      </c>
      <c r="B506">
        <v>5769</v>
      </c>
      <c r="C506">
        <v>2014</v>
      </c>
      <c r="D506">
        <v>12</v>
      </c>
      <c r="E506" s="6">
        <f t="shared" si="42"/>
        <v>41974</v>
      </c>
      <c r="F506" s="1">
        <v>394.32499999999999</v>
      </c>
      <c r="G506" s="1">
        <v>0</v>
      </c>
      <c r="H506" s="1">
        <v>0</v>
      </c>
      <c r="I506" s="1">
        <v>0</v>
      </c>
      <c r="J506" s="7">
        <f t="shared" si="43"/>
        <v>0</v>
      </c>
      <c r="K506" s="1">
        <f t="shared" si="44"/>
        <v>0</v>
      </c>
      <c r="L506" s="13" t="str">
        <f t="shared" si="45"/>
        <v/>
      </c>
      <c r="M506" s="1">
        <v>0</v>
      </c>
      <c r="N506" s="1">
        <v>95714.366779166696</v>
      </c>
      <c r="O506" t="str">
        <f t="shared" si="46"/>
        <v>Injector</v>
      </c>
      <c r="P506" s="15">
        <f t="shared" si="47"/>
        <v>0.53000672043010755</v>
      </c>
    </row>
    <row r="507" spans="1:16" x14ac:dyDescent="0.35">
      <c r="A507" t="s">
        <v>7</v>
      </c>
      <c r="B507">
        <v>5769</v>
      </c>
      <c r="C507">
        <v>2015</v>
      </c>
      <c r="D507">
        <v>1</v>
      </c>
      <c r="E507" s="6">
        <f t="shared" si="42"/>
        <v>42005</v>
      </c>
      <c r="F507" s="1">
        <v>702.63333999999998</v>
      </c>
      <c r="G507" s="1">
        <v>0</v>
      </c>
      <c r="H507" s="1">
        <v>0</v>
      </c>
      <c r="I507" s="1">
        <v>0</v>
      </c>
      <c r="J507" s="7">
        <f t="shared" si="43"/>
        <v>0</v>
      </c>
      <c r="K507" s="1">
        <f t="shared" si="44"/>
        <v>0</v>
      </c>
      <c r="L507" s="13" t="str">
        <f t="shared" si="45"/>
        <v/>
      </c>
      <c r="M507" s="1">
        <v>0</v>
      </c>
      <c r="N507" s="1">
        <v>116851.662329792</v>
      </c>
      <c r="O507" t="str">
        <f t="shared" si="46"/>
        <v>Injector</v>
      </c>
      <c r="P507" s="15">
        <f t="shared" si="47"/>
        <v>0.94439965053763442</v>
      </c>
    </row>
    <row r="508" spans="1:16" x14ac:dyDescent="0.35">
      <c r="A508" t="s">
        <v>7</v>
      </c>
      <c r="B508">
        <v>5769</v>
      </c>
      <c r="C508">
        <v>2015</v>
      </c>
      <c r="D508">
        <v>2</v>
      </c>
      <c r="E508" s="6">
        <f t="shared" si="42"/>
        <v>42036</v>
      </c>
      <c r="F508" s="1">
        <v>583.88333</v>
      </c>
      <c r="G508" s="1">
        <v>0</v>
      </c>
      <c r="H508" s="1">
        <v>0</v>
      </c>
      <c r="I508" s="1">
        <v>0</v>
      </c>
      <c r="J508" s="7">
        <f t="shared" si="43"/>
        <v>0</v>
      </c>
      <c r="K508" s="1">
        <f t="shared" si="44"/>
        <v>0</v>
      </c>
      <c r="L508" s="13" t="str">
        <f t="shared" si="45"/>
        <v/>
      </c>
      <c r="M508" s="1">
        <v>0</v>
      </c>
      <c r="N508" s="1">
        <v>122957.754829792</v>
      </c>
      <c r="O508" t="str">
        <f t="shared" si="46"/>
        <v>Injector</v>
      </c>
      <c r="P508" s="15">
        <f t="shared" si="47"/>
        <v>0.86887400297619044</v>
      </c>
    </row>
    <row r="509" spans="1:16" x14ac:dyDescent="0.35">
      <c r="A509" t="s">
        <v>7</v>
      </c>
      <c r="B509">
        <v>5769</v>
      </c>
      <c r="C509">
        <v>2015</v>
      </c>
      <c r="D509">
        <v>3</v>
      </c>
      <c r="E509" s="6">
        <f t="shared" si="42"/>
        <v>42064</v>
      </c>
      <c r="F509" s="1">
        <v>744</v>
      </c>
      <c r="G509" s="1">
        <v>0</v>
      </c>
      <c r="H509" s="1">
        <v>0</v>
      </c>
      <c r="I509" s="1">
        <v>0</v>
      </c>
      <c r="J509" s="7">
        <f t="shared" si="43"/>
        <v>0</v>
      </c>
      <c r="K509" s="1">
        <f t="shared" si="44"/>
        <v>0</v>
      </c>
      <c r="L509" s="13" t="str">
        <f t="shared" si="45"/>
        <v/>
      </c>
      <c r="M509" s="1">
        <v>0</v>
      </c>
      <c r="N509" s="1">
        <v>127803.68713271699</v>
      </c>
      <c r="O509" t="str">
        <f t="shared" si="46"/>
        <v>Injector</v>
      </c>
      <c r="P509" s="15">
        <f t="shared" si="47"/>
        <v>1</v>
      </c>
    </row>
    <row r="510" spans="1:16" x14ac:dyDescent="0.35">
      <c r="A510" t="s">
        <v>7</v>
      </c>
      <c r="B510">
        <v>5769</v>
      </c>
      <c r="C510">
        <v>2015</v>
      </c>
      <c r="D510">
        <v>4</v>
      </c>
      <c r="E510" s="6">
        <f t="shared" si="42"/>
        <v>42095</v>
      </c>
      <c r="F510" s="1">
        <v>707.66666999999995</v>
      </c>
      <c r="G510" s="1">
        <v>0</v>
      </c>
      <c r="H510" s="1">
        <v>0</v>
      </c>
      <c r="I510" s="1">
        <v>0</v>
      </c>
      <c r="J510" s="7">
        <f t="shared" si="43"/>
        <v>0</v>
      </c>
      <c r="K510" s="1">
        <f t="shared" si="44"/>
        <v>0</v>
      </c>
      <c r="L510" s="13" t="str">
        <f t="shared" si="45"/>
        <v/>
      </c>
      <c r="M510" s="1">
        <v>0</v>
      </c>
      <c r="N510" s="1">
        <v>146997.138336042</v>
      </c>
      <c r="O510" t="str">
        <f t="shared" si="46"/>
        <v>Injector</v>
      </c>
      <c r="P510" s="15">
        <f t="shared" si="47"/>
        <v>0.98287037499999996</v>
      </c>
    </row>
    <row r="511" spans="1:16" x14ac:dyDescent="0.35">
      <c r="A511" t="s">
        <v>7</v>
      </c>
      <c r="B511">
        <v>5769</v>
      </c>
      <c r="C511">
        <v>2015</v>
      </c>
      <c r="D511">
        <v>5</v>
      </c>
      <c r="E511" s="6">
        <f t="shared" si="42"/>
        <v>42125</v>
      </c>
      <c r="F511" s="1">
        <v>744</v>
      </c>
      <c r="G511" s="1">
        <v>0</v>
      </c>
      <c r="H511" s="1">
        <v>0</v>
      </c>
      <c r="I511" s="1">
        <v>0</v>
      </c>
      <c r="J511" s="7">
        <f t="shared" si="43"/>
        <v>0</v>
      </c>
      <c r="K511" s="1">
        <f t="shared" si="44"/>
        <v>0</v>
      </c>
      <c r="L511" s="13" t="str">
        <f t="shared" si="45"/>
        <v/>
      </c>
      <c r="M511" s="1">
        <v>0</v>
      </c>
      <c r="N511" s="1">
        <v>135253.88426374999</v>
      </c>
      <c r="O511" t="str">
        <f t="shared" si="46"/>
        <v>Injector</v>
      </c>
      <c r="P511" s="15">
        <f t="shared" si="47"/>
        <v>1</v>
      </c>
    </row>
    <row r="512" spans="1:16" x14ac:dyDescent="0.35">
      <c r="A512" t="s">
        <v>7</v>
      </c>
      <c r="B512">
        <v>5769</v>
      </c>
      <c r="C512">
        <v>2015</v>
      </c>
      <c r="D512">
        <v>6</v>
      </c>
      <c r="E512" s="6">
        <f t="shared" si="42"/>
        <v>42156</v>
      </c>
      <c r="F512" s="1">
        <v>717.45</v>
      </c>
      <c r="G512" s="1">
        <v>0</v>
      </c>
      <c r="H512" s="1">
        <v>0</v>
      </c>
      <c r="I512" s="1">
        <v>0</v>
      </c>
      <c r="J512" s="7">
        <f t="shared" si="43"/>
        <v>0</v>
      </c>
      <c r="K512" s="1">
        <f t="shared" si="44"/>
        <v>0</v>
      </c>
      <c r="L512" s="13" t="str">
        <f t="shared" si="45"/>
        <v/>
      </c>
      <c r="M512" s="1">
        <v>0</v>
      </c>
      <c r="N512" s="1">
        <v>146025.80091291701</v>
      </c>
      <c r="O512" t="str">
        <f t="shared" si="46"/>
        <v>Injector</v>
      </c>
      <c r="P512" s="15">
        <f t="shared" si="47"/>
        <v>0.99645833333333345</v>
      </c>
    </row>
    <row r="513" spans="1:16" x14ac:dyDescent="0.35">
      <c r="A513" t="s">
        <v>7</v>
      </c>
      <c r="B513">
        <v>5769</v>
      </c>
      <c r="C513">
        <v>2015</v>
      </c>
      <c r="D513">
        <v>7</v>
      </c>
      <c r="E513" s="6">
        <f t="shared" si="42"/>
        <v>42186</v>
      </c>
      <c r="F513" s="1">
        <v>739.67499999999995</v>
      </c>
      <c r="G513" s="1">
        <v>0</v>
      </c>
      <c r="H513" s="1">
        <v>0</v>
      </c>
      <c r="I513" s="1">
        <v>0</v>
      </c>
      <c r="J513" s="7">
        <f t="shared" si="43"/>
        <v>0</v>
      </c>
      <c r="K513" s="1">
        <f t="shared" si="44"/>
        <v>0</v>
      </c>
      <c r="L513" s="13" t="str">
        <f t="shared" si="45"/>
        <v/>
      </c>
      <c r="M513" s="1">
        <v>0</v>
      </c>
      <c r="N513" s="1">
        <v>117659.770350208</v>
      </c>
      <c r="O513" t="str">
        <f t="shared" si="46"/>
        <v>Injector</v>
      </c>
      <c r="P513" s="15">
        <f t="shared" si="47"/>
        <v>0.99418682795698921</v>
      </c>
    </row>
    <row r="514" spans="1:16" x14ac:dyDescent="0.35">
      <c r="A514" t="s">
        <v>7</v>
      </c>
      <c r="B514">
        <v>5769</v>
      </c>
      <c r="C514">
        <v>2015</v>
      </c>
      <c r="D514">
        <v>8</v>
      </c>
      <c r="E514" s="6">
        <f t="shared" si="42"/>
        <v>42217</v>
      </c>
      <c r="F514" s="1">
        <v>606.19971999999996</v>
      </c>
      <c r="G514" s="1">
        <v>0</v>
      </c>
      <c r="H514" s="1">
        <v>0</v>
      </c>
      <c r="I514" s="1">
        <v>0</v>
      </c>
      <c r="J514" s="7">
        <f t="shared" si="43"/>
        <v>0</v>
      </c>
      <c r="K514" s="1">
        <f t="shared" si="44"/>
        <v>0</v>
      </c>
      <c r="L514" s="13" t="str">
        <f t="shared" si="45"/>
        <v/>
      </c>
      <c r="M514" s="1">
        <v>0</v>
      </c>
      <c r="N514" s="1">
        <v>113141.00622416699</v>
      </c>
      <c r="O514" t="str">
        <f t="shared" si="46"/>
        <v>Injector</v>
      </c>
      <c r="P514" s="15">
        <f t="shared" si="47"/>
        <v>0.81478456989247305</v>
      </c>
    </row>
    <row r="515" spans="1:16" x14ac:dyDescent="0.35">
      <c r="A515" t="s">
        <v>7</v>
      </c>
      <c r="B515">
        <v>5769</v>
      </c>
      <c r="C515">
        <v>2015</v>
      </c>
      <c r="D515">
        <v>9</v>
      </c>
      <c r="E515" s="6">
        <f t="shared" ref="E515:E527" si="48">DATE(C515, D515, 1)</f>
        <v>42248</v>
      </c>
      <c r="F515" s="1">
        <v>711.73375999999996</v>
      </c>
      <c r="G515" s="1">
        <v>0</v>
      </c>
      <c r="H515" s="1">
        <v>0</v>
      </c>
      <c r="I515" s="1">
        <v>0</v>
      </c>
      <c r="J515" s="7">
        <f t="shared" ref="J515:J527" si="49">IF(F515&gt;0,G515/(F515/24),"")</f>
        <v>0</v>
      </c>
      <c r="K515" s="1">
        <f t="shared" ref="K515:K527" si="50">+J515</f>
        <v>0</v>
      </c>
      <c r="L515" s="13" t="str">
        <f t="shared" ref="L515:L527" si="51">+IF((G515+I515)&gt;0,I515/(G515+I515),"")</f>
        <v/>
      </c>
      <c r="M515" s="1">
        <v>0</v>
      </c>
      <c r="N515" s="1">
        <v>128260.871127292</v>
      </c>
      <c r="O515" t="str">
        <f t="shared" ref="O515:O527" si="52">IF(F515&gt;0,IF(N(N515)&gt;0,"Injector",IF(N(G515)&gt;0,"Producer","Inactive")),"No production")</f>
        <v>Injector</v>
      </c>
      <c r="P515" s="15">
        <f t="shared" ref="P515:P527" si="53">+IF(F515&gt;0,F515/(DAY(EOMONTH(E515,0))*24),"")</f>
        <v>0.98851911111111102</v>
      </c>
    </row>
    <row r="516" spans="1:16" x14ac:dyDescent="0.35">
      <c r="A516" t="s">
        <v>7</v>
      </c>
      <c r="B516">
        <v>5769</v>
      </c>
      <c r="C516">
        <v>2015</v>
      </c>
      <c r="D516">
        <v>10</v>
      </c>
      <c r="E516" s="6">
        <f t="shared" si="48"/>
        <v>42278</v>
      </c>
      <c r="F516" s="1">
        <v>724.40764000000001</v>
      </c>
      <c r="G516" s="1">
        <v>0</v>
      </c>
      <c r="H516" s="1">
        <v>0</v>
      </c>
      <c r="I516" s="1">
        <v>0</v>
      </c>
      <c r="J516" s="7">
        <f t="shared" si="49"/>
        <v>0</v>
      </c>
      <c r="K516" s="1">
        <f t="shared" si="50"/>
        <v>0</v>
      </c>
      <c r="L516" s="13" t="str">
        <f t="shared" si="51"/>
        <v/>
      </c>
      <c r="M516" s="1">
        <v>0</v>
      </c>
      <c r="N516" s="1">
        <v>134374.87116976699</v>
      </c>
      <c r="O516" t="str">
        <f t="shared" si="52"/>
        <v>Injector</v>
      </c>
      <c r="P516" s="15">
        <f t="shared" si="53"/>
        <v>0.97366618279569894</v>
      </c>
    </row>
    <row r="517" spans="1:16" x14ac:dyDescent="0.35">
      <c r="A517" t="s">
        <v>7</v>
      </c>
      <c r="B517">
        <v>5769</v>
      </c>
      <c r="C517">
        <v>2015</v>
      </c>
      <c r="D517">
        <v>11</v>
      </c>
      <c r="E517" s="6">
        <f t="shared" si="48"/>
        <v>42309</v>
      </c>
      <c r="F517" s="1">
        <v>642.93334000000004</v>
      </c>
      <c r="G517" s="1">
        <v>0</v>
      </c>
      <c r="H517" s="1">
        <v>0</v>
      </c>
      <c r="I517" s="1">
        <v>0</v>
      </c>
      <c r="J517" s="7">
        <f t="shared" si="49"/>
        <v>0</v>
      </c>
      <c r="K517" s="1">
        <f t="shared" si="50"/>
        <v>0</v>
      </c>
      <c r="L517" s="13" t="str">
        <f t="shared" si="51"/>
        <v/>
      </c>
      <c r="M517" s="1">
        <v>0</v>
      </c>
      <c r="N517" s="1">
        <v>134602.94090354201</v>
      </c>
      <c r="O517" t="str">
        <f t="shared" si="52"/>
        <v>Injector</v>
      </c>
      <c r="P517" s="15">
        <f t="shared" si="53"/>
        <v>0.89296297222222232</v>
      </c>
    </row>
    <row r="518" spans="1:16" x14ac:dyDescent="0.35">
      <c r="A518" t="s">
        <v>7</v>
      </c>
      <c r="B518">
        <v>5769</v>
      </c>
      <c r="C518">
        <v>2015</v>
      </c>
      <c r="D518">
        <v>12</v>
      </c>
      <c r="E518" s="6">
        <f t="shared" si="48"/>
        <v>42339</v>
      </c>
      <c r="F518" s="1">
        <v>739.24999000000003</v>
      </c>
      <c r="G518" s="1">
        <v>0</v>
      </c>
      <c r="H518" s="1">
        <v>0</v>
      </c>
      <c r="I518" s="1">
        <v>0</v>
      </c>
      <c r="J518" s="7">
        <f t="shared" si="49"/>
        <v>0</v>
      </c>
      <c r="K518" s="1">
        <f t="shared" si="50"/>
        <v>0</v>
      </c>
      <c r="L518" s="13" t="str">
        <f t="shared" si="51"/>
        <v/>
      </c>
      <c r="M518" s="1">
        <v>0</v>
      </c>
      <c r="N518" s="1">
        <v>145383.33062729199</v>
      </c>
      <c r="O518" t="str">
        <f t="shared" si="52"/>
        <v>Injector</v>
      </c>
      <c r="P518" s="15">
        <f t="shared" si="53"/>
        <v>0.99361557795698929</v>
      </c>
    </row>
    <row r="519" spans="1:16" x14ac:dyDescent="0.35">
      <c r="A519" t="s">
        <v>7</v>
      </c>
      <c r="B519">
        <v>5769</v>
      </c>
      <c r="C519">
        <v>2016</v>
      </c>
      <c r="D519">
        <v>1</v>
      </c>
      <c r="E519" s="6">
        <f t="shared" si="48"/>
        <v>42370</v>
      </c>
      <c r="F519" s="1">
        <v>721.41665999999998</v>
      </c>
      <c r="G519" s="1">
        <v>0</v>
      </c>
      <c r="H519" s="1">
        <v>0</v>
      </c>
      <c r="I519" s="1">
        <v>0</v>
      </c>
      <c r="J519" s="7">
        <f t="shared" si="49"/>
        <v>0</v>
      </c>
      <c r="K519" s="1">
        <f t="shared" si="50"/>
        <v>0</v>
      </c>
      <c r="L519" s="13" t="str">
        <f t="shared" si="51"/>
        <v/>
      </c>
      <c r="M519" s="1">
        <v>0</v>
      </c>
      <c r="N519" s="1">
        <v>148394.55609979201</v>
      </c>
      <c r="O519" t="str">
        <f t="shared" si="52"/>
        <v>Injector</v>
      </c>
      <c r="P519" s="15">
        <f t="shared" si="53"/>
        <v>0.96964604838709678</v>
      </c>
    </row>
    <row r="520" spans="1:16" x14ac:dyDescent="0.35">
      <c r="A520" t="s">
        <v>7</v>
      </c>
      <c r="B520">
        <v>5769</v>
      </c>
      <c r="C520">
        <v>2016</v>
      </c>
      <c r="D520">
        <v>2</v>
      </c>
      <c r="E520" s="6">
        <f t="shared" si="48"/>
        <v>42401</v>
      </c>
      <c r="F520" s="1">
        <v>691.25001999999995</v>
      </c>
      <c r="G520" s="1">
        <v>0</v>
      </c>
      <c r="H520" s="1">
        <v>0</v>
      </c>
      <c r="I520" s="1">
        <v>0</v>
      </c>
      <c r="J520" s="7">
        <f t="shared" si="49"/>
        <v>0</v>
      </c>
      <c r="K520" s="1">
        <f t="shared" si="50"/>
        <v>0</v>
      </c>
      <c r="L520" s="13" t="str">
        <f t="shared" si="51"/>
        <v/>
      </c>
      <c r="M520" s="1">
        <v>0</v>
      </c>
      <c r="N520" s="1">
        <v>164188.59713937499</v>
      </c>
      <c r="O520" t="str">
        <f t="shared" si="52"/>
        <v>Injector</v>
      </c>
      <c r="P520" s="15">
        <f t="shared" si="53"/>
        <v>0.99317531609195397</v>
      </c>
    </row>
    <row r="521" spans="1:16" x14ac:dyDescent="0.35">
      <c r="A521" t="s">
        <v>7</v>
      </c>
      <c r="B521">
        <v>5769</v>
      </c>
      <c r="C521">
        <v>2016</v>
      </c>
      <c r="D521">
        <v>3</v>
      </c>
      <c r="E521" s="6">
        <f t="shared" si="48"/>
        <v>42430</v>
      </c>
      <c r="F521" s="1">
        <v>743</v>
      </c>
      <c r="G521" s="1">
        <v>0</v>
      </c>
      <c r="H521" s="1">
        <v>0</v>
      </c>
      <c r="I521" s="1">
        <v>0</v>
      </c>
      <c r="J521" s="7">
        <f t="shared" si="49"/>
        <v>0</v>
      </c>
      <c r="K521" s="1">
        <f t="shared" si="50"/>
        <v>0</v>
      </c>
      <c r="L521" s="13" t="str">
        <f t="shared" si="51"/>
        <v/>
      </c>
      <c r="M521" s="1">
        <v>0</v>
      </c>
      <c r="N521" s="1">
        <v>139810.59127062501</v>
      </c>
      <c r="O521" t="str">
        <f t="shared" si="52"/>
        <v>Injector</v>
      </c>
      <c r="P521" s="15">
        <f t="shared" si="53"/>
        <v>0.99865591397849462</v>
      </c>
    </row>
    <row r="522" spans="1:16" x14ac:dyDescent="0.35">
      <c r="A522" t="s">
        <v>7</v>
      </c>
      <c r="B522">
        <v>5769</v>
      </c>
      <c r="C522">
        <v>2016</v>
      </c>
      <c r="D522">
        <v>4</v>
      </c>
      <c r="E522" s="6">
        <f t="shared" si="48"/>
        <v>42461</v>
      </c>
      <c r="F522" s="1">
        <v>345.41667999999999</v>
      </c>
      <c r="G522" s="1">
        <v>3400.61</v>
      </c>
      <c r="H522" s="1">
        <v>538638.56000000006</v>
      </c>
      <c r="I522" s="1">
        <v>2380.7800000000002</v>
      </c>
      <c r="J522" s="7">
        <f t="shared" si="49"/>
        <v>236.27880390721145</v>
      </c>
      <c r="K522" s="1">
        <f t="shared" si="50"/>
        <v>236.27880390721145</v>
      </c>
      <c r="L522" s="13">
        <f t="shared" si="51"/>
        <v>0.41180062234168602</v>
      </c>
      <c r="M522" s="1">
        <v>0</v>
      </c>
      <c r="N522" s="1">
        <v>20226.958790000001</v>
      </c>
      <c r="O522" t="str">
        <f t="shared" si="52"/>
        <v>Injector</v>
      </c>
      <c r="P522" s="15">
        <f t="shared" si="53"/>
        <v>0.47974538888888885</v>
      </c>
    </row>
    <row r="523" spans="1:16" x14ac:dyDescent="0.35">
      <c r="A523" t="s">
        <v>7</v>
      </c>
      <c r="B523">
        <v>5769</v>
      </c>
      <c r="C523">
        <v>2016</v>
      </c>
      <c r="D523">
        <v>5</v>
      </c>
      <c r="E523" s="6">
        <f t="shared" si="48"/>
        <v>42491</v>
      </c>
      <c r="F523" s="1">
        <v>732</v>
      </c>
      <c r="G523" s="1">
        <v>9724.4</v>
      </c>
      <c r="H523" s="1">
        <v>1534677.16</v>
      </c>
      <c r="I523" s="1">
        <v>3949.9</v>
      </c>
      <c r="J523" s="7">
        <f t="shared" si="49"/>
        <v>318.83278688524587</v>
      </c>
      <c r="K523" s="1">
        <f t="shared" si="50"/>
        <v>318.83278688524587</v>
      </c>
      <c r="L523" s="13">
        <f t="shared" si="51"/>
        <v>0.28885573667390657</v>
      </c>
      <c r="M523" s="1">
        <v>0</v>
      </c>
      <c r="N523" s="1">
        <v>0</v>
      </c>
      <c r="O523" t="str">
        <f t="shared" si="52"/>
        <v>Producer</v>
      </c>
      <c r="P523" s="15">
        <f t="shared" si="53"/>
        <v>0.9838709677419355</v>
      </c>
    </row>
    <row r="524" spans="1:16" x14ac:dyDescent="0.35">
      <c r="A524" t="s">
        <v>7</v>
      </c>
      <c r="B524">
        <v>5769</v>
      </c>
      <c r="C524">
        <v>2016</v>
      </c>
      <c r="D524">
        <v>6</v>
      </c>
      <c r="E524" s="6">
        <f t="shared" si="48"/>
        <v>42522</v>
      </c>
      <c r="F524" s="1">
        <v>718.41666999999995</v>
      </c>
      <c r="G524" s="1">
        <v>9121.48</v>
      </c>
      <c r="H524" s="1">
        <v>1468557.12</v>
      </c>
      <c r="I524" s="1">
        <v>2376.9299999999998</v>
      </c>
      <c r="J524" s="7">
        <f t="shared" si="49"/>
        <v>304.71943252653091</v>
      </c>
      <c r="K524" s="1">
        <f t="shared" si="50"/>
        <v>304.71943252653091</v>
      </c>
      <c r="L524" s="13">
        <f t="shared" si="51"/>
        <v>0.20671814624804646</v>
      </c>
      <c r="M524" s="1">
        <v>0</v>
      </c>
      <c r="N524" s="1">
        <v>0</v>
      </c>
      <c r="O524" t="str">
        <f t="shared" si="52"/>
        <v>Producer</v>
      </c>
      <c r="P524" s="15">
        <f t="shared" si="53"/>
        <v>0.99780093055555552</v>
      </c>
    </row>
    <row r="525" spans="1:16" x14ac:dyDescent="0.35">
      <c r="A525" t="s">
        <v>7</v>
      </c>
      <c r="B525">
        <v>5769</v>
      </c>
      <c r="C525">
        <v>2016</v>
      </c>
      <c r="D525">
        <v>7</v>
      </c>
      <c r="E525" s="6">
        <f t="shared" si="48"/>
        <v>42552</v>
      </c>
      <c r="F525" s="1">
        <v>668.64167999999995</v>
      </c>
      <c r="G525" s="1">
        <v>9985.2900000000009</v>
      </c>
      <c r="H525" s="1">
        <v>1602674.39</v>
      </c>
      <c r="I525" s="1">
        <v>2453.71</v>
      </c>
      <c r="J525" s="7">
        <f t="shared" si="49"/>
        <v>358.40864721445433</v>
      </c>
      <c r="K525" s="1">
        <f t="shared" si="50"/>
        <v>358.40864721445433</v>
      </c>
      <c r="L525" s="13">
        <f t="shared" si="51"/>
        <v>0.1972594259988745</v>
      </c>
      <c r="M525" s="1">
        <v>0</v>
      </c>
      <c r="N525" s="1">
        <v>0</v>
      </c>
      <c r="O525" t="str">
        <f t="shared" si="52"/>
        <v>Producer</v>
      </c>
      <c r="P525" s="15">
        <f t="shared" si="53"/>
        <v>0.89871193548387085</v>
      </c>
    </row>
    <row r="526" spans="1:16" x14ac:dyDescent="0.35">
      <c r="A526" t="s">
        <v>7</v>
      </c>
      <c r="B526">
        <v>5769</v>
      </c>
      <c r="C526">
        <v>2016</v>
      </c>
      <c r="D526">
        <v>8</v>
      </c>
      <c r="E526" s="6">
        <f t="shared" si="48"/>
        <v>42583</v>
      </c>
      <c r="F526" s="1">
        <v>608.42499999999995</v>
      </c>
      <c r="G526" s="1">
        <v>8928.9</v>
      </c>
      <c r="H526" s="1">
        <v>1417278.51</v>
      </c>
      <c r="I526" s="1">
        <v>2371.86</v>
      </c>
      <c r="J526" s="7">
        <f t="shared" si="49"/>
        <v>352.21037925792007</v>
      </c>
      <c r="K526" s="1">
        <f t="shared" si="50"/>
        <v>352.21037925792007</v>
      </c>
      <c r="L526" s="13">
        <f t="shared" si="51"/>
        <v>0.20988499888503076</v>
      </c>
      <c r="M526" s="1">
        <v>0</v>
      </c>
      <c r="N526" s="1">
        <v>0</v>
      </c>
      <c r="O526" t="str">
        <f t="shared" si="52"/>
        <v>Producer</v>
      </c>
      <c r="P526" s="15">
        <f t="shared" si="53"/>
        <v>0.81777553763440858</v>
      </c>
    </row>
    <row r="527" spans="1:16" x14ac:dyDescent="0.35">
      <c r="A527" t="s">
        <v>7</v>
      </c>
      <c r="B527">
        <v>5769</v>
      </c>
      <c r="C527">
        <v>2016</v>
      </c>
      <c r="D527">
        <v>9</v>
      </c>
      <c r="E527" s="6">
        <f t="shared" si="48"/>
        <v>42614</v>
      </c>
      <c r="F527" s="1">
        <v>0</v>
      </c>
      <c r="G527" s="1">
        <v>0</v>
      </c>
      <c r="H527" s="1">
        <v>0</v>
      </c>
      <c r="I527" s="1">
        <v>0</v>
      </c>
      <c r="J527" s="7" t="str">
        <f t="shared" si="49"/>
        <v/>
      </c>
      <c r="K527" s="1" t="str">
        <f t="shared" si="50"/>
        <v/>
      </c>
      <c r="L527" s="13" t="str">
        <f t="shared" si="51"/>
        <v/>
      </c>
      <c r="M527" s="1">
        <v>0</v>
      </c>
      <c r="N527" s="1">
        <v>0</v>
      </c>
      <c r="O527" t="str">
        <f t="shared" si="52"/>
        <v>No production</v>
      </c>
      <c r="P527" s="15" t="str">
        <f t="shared" si="53"/>
        <v/>
      </c>
    </row>
  </sheetData>
  <autoFilter ref="A1:O527" xr:uid="{A8EA9460-457B-4D22-B183-BA64F55031C3}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EF46-AA95-49D2-B7AC-75BFEFF3C810}">
  <dimension ref="A2:H413"/>
  <sheetViews>
    <sheetView showGridLines="0" topLeftCell="A382" zoomScale="70" zoomScaleNormal="70" workbookViewId="0">
      <selection activeCell="L25" sqref="L25"/>
    </sheetView>
  </sheetViews>
  <sheetFormatPr defaultRowHeight="12.75" x14ac:dyDescent="0.35"/>
  <cols>
    <col min="1" max="1" width="25.19921875" bestFit="1" customWidth="1"/>
    <col min="2" max="2" width="17.33203125" bestFit="1" customWidth="1"/>
    <col min="3" max="9" width="12.33203125" bestFit="1" customWidth="1"/>
  </cols>
  <sheetData>
    <row r="2" spans="1:2" x14ac:dyDescent="0.35">
      <c r="A2" s="4" t="s">
        <v>28</v>
      </c>
      <c r="B2" t="s">
        <v>36</v>
      </c>
    </row>
    <row r="3" spans="1:2" x14ac:dyDescent="0.35">
      <c r="A3" s="2" t="s">
        <v>3</v>
      </c>
      <c r="B3" s="1">
        <v>4579609.549999998</v>
      </c>
    </row>
    <row r="4" spans="1:2" x14ac:dyDescent="0.35">
      <c r="A4" s="2" t="s">
        <v>4</v>
      </c>
      <c r="B4" s="1">
        <v>3942233.39</v>
      </c>
    </row>
    <row r="5" spans="1:2" x14ac:dyDescent="0.35">
      <c r="A5" s="2" t="s">
        <v>2</v>
      </c>
      <c r="B5" s="1">
        <v>1147849.0999999999</v>
      </c>
    </row>
    <row r="6" spans="1:2" x14ac:dyDescent="0.35">
      <c r="A6" s="2" t="s">
        <v>1</v>
      </c>
      <c r="B6" s="1">
        <v>177709.32999999996</v>
      </c>
    </row>
    <row r="7" spans="1:2" x14ac:dyDescent="0.35">
      <c r="A7" s="2" t="s">
        <v>5</v>
      </c>
      <c r="B7" s="1">
        <v>148518.56</v>
      </c>
    </row>
    <row r="8" spans="1:2" x14ac:dyDescent="0.35">
      <c r="A8" s="2" t="s">
        <v>7</v>
      </c>
      <c r="B8" s="1">
        <v>41160.68</v>
      </c>
    </row>
    <row r="9" spans="1:2" x14ac:dyDescent="0.35">
      <c r="A9" s="2" t="s">
        <v>6</v>
      </c>
      <c r="B9" s="1">
        <v>0</v>
      </c>
    </row>
    <row r="10" spans="1:2" x14ac:dyDescent="0.35">
      <c r="A10" s="2" t="s">
        <v>29</v>
      </c>
      <c r="B10" s="1">
        <v>10037080.609999998</v>
      </c>
    </row>
    <row r="29" spans="1:8" x14ac:dyDescent="0.35">
      <c r="A29" s="4" t="s">
        <v>59</v>
      </c>
      <c r="B29" t="s">
        <v>21</v>
      </c>
    </row>
    <row r="31" spans="1:8" x14ac:dyDescent="0.35">
      <c r="A31" s="4" t="s">
        <v>36</v>
      </c>
      <c r="B31" s="4" t="s">
        <v>38</v>
      </c>
    </row>
    <row r="32" spans="1:8" x14ac:dyDescent="0.35">
      <c r="A32" s="4" t="s">
        <v>28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7</v>
      </c>
      <c r="H32" t="s">
        <v>29</v>
      </c>
    </row>
    <row r="33" spans="1:8" x14ac:dyDescent="0.35">
      <c r="A33" s="2" t="s">
        <v>39</v>
      </c>
      <c r="B33" s="1"/>
      <c r="C33" s="1"/>
      <c r="D33" s="1">
        <v>1173446.6599999999</v>
      </c>
      <c r="E33" s="1">
        <v>590928.49</v>
      </c>
      <c r="F33" s="1"/>
      <c r="G33" s="1"/>
      <c r="H33" s="1">
        <v>1764375.15</v>
      </c>
    </row>
    <row r="34" spans="1:8" x14ac:dyDescent="0.35">
      <c r="A34" s="5" t="s">
        <v>52</v>
      </c>
      <c r="B34" s="1"/>
      <c r="C34" s="1"/>
      <c r="D34" s="1">
        <v>49091.06</v>
      </c>
      <c r="E34" s="1"/>
      <c r="F34" s="1"/>
      <c r="G34" s="1"/>
      <c r="H34" s="1">
        <v>49091.06</v>
      </c>
    </row>
    <row r="35" spans="1:8" x14ac:dyDescent="0.35">
      <c r="A35" s="5" t="s">
        <v>53</v>
      </c>
      <c r="B35" s="1"/>
      <c r="C35" s="1"/>
      <c r="D35" s="1">
        <v>83361.259999999995</v>
      </c>
      <c r="E35" s="1"/>
      <c r="F35" s="1"/>
      <c r="G35" s="1"/>
      <c r="H35" s="1">
        <v>83361.259999999995</v>
      </c>
    </row>
    <row r="36" spans="1:8" x14ac:dyDescent="0.35">
      <c r="A36" s="5" t="s">
        <v>54</v>
      </c>
      <c r="B36" s="1"/>
      <c r="C36" s="1"/>
      <c r="D36" s="1">
        <v>74532.45</v>
      </c>
      <c r="E36" s="1"/>
      <c r="F36" s="1"/>
      <c r="G36" s="1"/>
      <c r="H36" s="1">
        <v>74532.45</v>
      </c>
    </row>
    <row r="37" spans="1:8" x14ac:dyDescent="0.35">
      <c r="A37" s="5" t="s">
        <v>55</v>
      </c>
      <c r="B37" s="1"/>
      <c r="C37" s="1"/>
      <c r="D37" s="1">
        <v>125478.56</v>
      </c>
      <c r="E37" s="1"/>
      <c r="F37" s="1"/>
      <c r="G37" s="1"/>
      <c r="H37" s="1">
        <v>125478.56</v>
      </c>
    </row>
    <row r="38" spans="1:8" x14ac:dyDescent="0.35">
      <c r="A38" s="5" t="s">
        <v>56</v>
      </c>
      <c r="B38" s="1"/>
      <c r="C38" s="1"/>
      <c r="D38" s="1">
        <v>143786.85</v>
      </c>
      <c r="E38" s="1"/>
      <c r="F38" s="1"/>
      <c r="G38" s="1"/>
      <c r="H38" s="1">
        <v>143786.85</v>
      </c>
    </row>
    <row r="39" spans="1:8" x14ac:dyDescent="0.35">
      <c r="A39" s="5" t="s">
        <v>57</v>
      </c>
      <c r="B39" s="1"/>
      <c r="C39" s="1"/>
      <c r="D39" s="1">
        <v>114994.61</v>
      </c>
      <c r="E39" s="1">
        <v>51285.08</v>
      </c>
      <c r="F39" s="1"/>
      <c r="G39" s="1"/>
      <c r="H39" s="1">
        <v>166279.69</v>
      </c>
    </row>
    <row r="40" spans="1:8" x14ac:dyDescent="0.35">
      <c r="A40" s="5" t="s">
        <v>58</v>
      </c>
      <c r="B40" s="1"/>
      <c r="C40" s="1"/>
      <c r="D40" s="1">
        <v>97822.46</v>
      </c>
      <c r="E40" s="1">
        <v>67621.2</v>
      </c>
      <c r="F40" s="1"/>
      <c r="G40" s="1"/>
      <c r="H40" s="1">
        <v>165443.66</v>
      </c>
    </row>
    <row r="41" spans="1:8" x14ac:dyDescent="0.35">
      <c r="A41" s="5" t="s">
        <v>60</v>
      </c>
      <c r="B41" s="1"/>
      <c r="C41" s="1"/>
      <c r="D41" s="1">
        <v>77666.95</v>
      </c>
      <c r="E41" s="1">
        <v>114596.26</v>
      </c>
      <c r="F41" s="1"/>
      <c r="G41" s="1"/>
      <c r="H41" s="1">
        <v>192263.21</v>
      </c>
    </row>
    <row r="42" spans="1:8" x14ac:dyDescent="0.35">
      <c r="A42" s="5" t="s">
        <v>48</v>
      </c>
      <c r="B42" s="1"/>
      <c r="C42" s="1"/>
      <c r="D42" s="1">
        <v>94357.23</v>
      </c>
      <c r="E42" s="1">
        <v>142817.06</v>
      </c>
      <c r="F42" s="1"/>
      <c r="G42" s="1"/>
      <c r="H42" s="1">
        <v>237174.28999999998</v>
      </c>
    </row>
    <row r="43" spans="1:8" x14ac:dyDescent="0.35">
      <c r="A43" s="5" t="s">
        <v>49</v>
      </c>
      <c r="B43" s="1"/>
      <c r="C43" s="1"/>
      <c r="D43" s="1">
        <v>145915.56</v>
      </c>
      <c r="E43" s="1">
        <v>104409.61</v>
      </c>
      <c r="F43" s="1"/>
      <c r="G43" s="1"/>
      <c r="H43" s="1">
        <v>250325.16999999998</v>
      </c>
    </row>
    <row r="44" spans="1:8" x14ac:dyDescent="0.35">
      <c r="A44" s="5" t="s">
        <v>50</v>
      </c>
      <c r="B44" s="1"/>
      <c r="C44" s="1"/>
      <c r="D44" s="1">
        <v>166439.67000000001</v>
      </c>
      <c r="E44" s="1">
        <v>110199.28</v>
      </c>
      <c r="F44" s="1"/>
      <c r="G44" s="1"/>
      <c r="H44" s="1">
        <v>276638.95</v>
      </c>
    </row>
    <row r="45" spans="1:8" x14ac:dyDescent="0.35">
      <c r="A45" s="2" t="s">
        <v>40</v>
      </c>
      <c r="B45" s="1"/>
      <c r="C45" s="1"/>
      <c r="D45" s="1">
        <v>1522540.5399999998</v>
      </c>
      <c r="E45" s="1">
        <v>1161851.5</v>
      </c>
      <c r="F45" s="1"/>
      <c r="G45" s="1"/>
      <c r="H45" s="1">
        <v>2684392.0400000005</v>
      </c>
    </row>
    <row r="46" spans="1:8" x14ac:dyDescent="0.35">
      <c r="A46" s="5" t="s">
        <v>51</v>
      </c>
      <c r="B46" s="1"/>
      <c r="C46" s="1"/>
      <c r="D46" s="1">
        <v>153677.16</v>
      </c>
      <c r="E46" s="1">
        <v>115572.66</v>
      </c>
      <c r="F46" s="1"/>
      <c r="G46" s="1"/>
      <c r="H46" s="1">
        <v>269249.82</v>
      </c>
    </row>
    <row r="47" spans="1:8" x14ac:dyDescent="0.35">
      <c r="A47" s="5" t="s">
        <v>52</v>
      </c>
      <c r="B47" s="1"/>
      <c r="C47" s="1"/>
      <c r="D47" s="1">
        <v>121905.01</v>
      </c>
      <c r="E47" s="1">
        <v>113880.98</v>
      </c>
      <c r="F47" s="1"/>
      <c r="G47" s="1"/>
      <c r="H47" s="1">
        <v>235785.99</v>
      </c>
    </row>
    <row r="48" spans="1:8" x14ac:dyDescent="0.35">
      <c r="A48" s="5" t="s">
        <v>53</v>
      </c>
      <c r="B48" s="1"/>
      <c r="C48" s="1"/>
      <c r="D48" s="1">
        <v>92958.71</v>
      </c>
      <c r="E48" s="1">
        <v>90644.44</v>
      </c>
      <c r="F48" s="1"/>
      <c r="G48" s="1"/>
      <c r="H48" s="1">
        <v>183603.15000000002</v>
      </c>
    </row>
    <row r="49" spans="1:8" x14ac:dyDescent="0.35">
      <c r="A49" s="5" t="s">
        <v>54</v>
      </c>
      <c r="B49" s="1"/>
      <c r="C49" s="1"/>
      <c r="D49" s="1">
        <v>150955.68</v>
      </c>
      <c r="E49" s="1">
        <v>86944.06</v>
      </c>
      <c r="F49" s="1"/>
      <c r="G49" s="1"/>
      <c r="H49" s="1">
        <v>237899.74</v>
      </c>
    </row>
    <row r="50" spans="1:8" x14ac:dyDescent="0.35">
      <c r="A50" s="5" t="s">
        <v>55</v>
      </c>
      <c r="B50" s="1"/>
      <c r="C50" s="1"/>
      <c r="D50" s="1">
        <v>141039.01</v>
      </c>
      <c r="E50" s="1">
        <v>116175.03999999999</v>
      </c>
      <c r="F50" s="1"/>
      <c r="G50" s="1"/>
      <c r="H50" s="1">
        <v>257214.05</v>
      </c>
    </row>
    <row r="51" spans="1:8" x14ac:dyDescent="0.35">
      <c r="A51" s="5" t="s">
        <v>56</v>
      </c>
      <c r="B51" s="1"/>
      <c r="C51" s="1"/>
      <c r="D51" s="1">
        <v>132429.71</v>
      </c>
      <c r="E51" s="1">
        <v>86654.03</v>
      </c>
      <c r="F51" s="1"/>
      <c r="G51" s="1"/>
      <c r="H51" s="1">
        <v>219083.74</v>
      </c>
    </row>
    <row r="52" spans="1:8" x14ac:dyDescent="0.35">
      <c r="A52" s="5" t="s">
        <v>57</v>
      </c>
      <c r="B52" s="1"/>
      <c r="C52" s="1"/>
      <c r="D52" s="1">
        <v>106105.25</v>
      </c>
      <c r="E52" s="1">
        <v>64871.82</v>
      </c>
      <c r="F52" s="1"/>
      <c r="G52" s="1"/>
      <c r="H52" s="1">
        <v>170977.07</v>
      </c>
    </row>
    <row r="53" spans="1:8" x14ac:dyDescent="0.35">
      <c r="A53" s="5" t="s">
        <v>58</v>
      </c>
      <c r="B53" s="1"/>
      <c r="C53" s="1"/>
      <c r="D53" s="1">
        <v>112414.27</v>
      </c>
      <c r="E53" s="1">
        <v>112493.5</v>
      </c>
      <c r="F53" s="1"/>
      <c r="G53" s="1"/>
      <c r="H53" s="1">
        <v>224907.77000000002</v>
      </c>
    </row>
    <row r="54" spans="1:8" x14ac:dyDescent="0.35">
      <c r="A54" s="5" t="s">
        <v>60</v>
      </c>
      <c r="B54" s="1"/>
      <c r="C54" s="1"/>
      <c r="D54" s="1">
        <v>90098.89</v>
      </c>
      <c r="E54" s="1">
        <v>90349.8</v>
      </c>
      <c r="F54" s="1"/>
      <c r="G54" s="1"/>
      <c r="H54" s="1">
        <v>180448.69</v>
      </c>
    </row>
    <row r="55" spans="1:8" x14ac:dyDescent="0.35">
      <c r="A55" s="5" t="s">
        <v>48</v>
      </c>
      <c r="B55" s="1"/>
      <c r="C55" s="1"/>
      <c r="D55" s="1">
        <v>126939.65</v>
      </c>
      <c r="E55" s="1">
        <v>96707.32</v>
      </c>
      <c r="F55" s="1"/>
      <c r="G55" s="1"/>
      <c r="H55" s="1">
        <v>223646.97</v>
      </c>
    </row>
    <row r="56" spans="1:8" x14ac:dyDescent="0.35">
      <c r="A56" s="5" t="s">
        <v>49</v>
      </c>
      <c r="B56" s="1"/>
      <c r="C56" s="1"/>
      <c r="D56" s="1">
        <v>136015.67999999999</v>
      </c>
      <c r="E56" s="1">
        <v>98043.5</v>
      </c>
      <c r="F56" s="1"/>
      <c r="G56" s="1"/>
      <c r="H56" s="1">
        <v>234059.18</v>
      </c>
    </row>
    <row r="57" spans="1:8" x14ac:dyDescent="0.35">
      <c r="A57" s="5" t="s">
        <v>50</v>
      </c>
      <c r="B57" s="1"/>
      <c r="C57" s="1"/>
      <c r="D57" s="1">
        <v>158001.51999999999</v>
      </c>
      <c r="E57" s="1">
        <v>89514.35</v>
      </c>
      <c r="F57" s="1"/>
      <c r="G57" s="1"/>
      <c r="H57" s="1">
        <v>247515.87</v>
      </c>
    </row>
    <row r="58" spans="1:8" x14ac:dyDescent="0.35">
      <c r="A58" s="2" t="s">
        <v>41</v>
      </c>
      <c r="B58" s="1"/>
      <c r="C58" s="1"/>
      <c r="D58" s="1">
        <v>873827.94999999984</v>
      </c>
      <c r="E58" s="1">
        <v>816074.60000000009</v>
      </c>
      <c r="F58" s="1"/>
      <c r="G58" s="1"/>
      <c r="H58" s="1">
        <v>1689902.5499999996</v>
      </c>
    </row>
    <row r="59" spans="1:8" x14ac:dyDescent="0.35">
      <c r="A59" s="5" t="s">
        <v>51</v>
      </c>
      <c r="B59" s="1"/>
      <c r="C59" s="1"/>
      <c r="D59" s="1">
        <v>149658.82999999999</v>
      </c>
      <c r="E59" s="1">
        <v>82221.25</v>
      </c>
      <c r="F59" s="1"/>
      <c r="G59" s="1"/>
      <c r="H59" s="1">
        <v>231880.08</v>
      </c>
    </row>
    <row r="60" spans="1:8" x14ac:dyDescent="0.35">
      <c r="A60" s="5" t="s">
        <v>52</v>
      </c>
      <c r="B60" s="1"/>
      <c r="C60" s="1"/>
      <c r="D60" s="1">
        <v>103026</v>
      </c>
      <c r="E60" s="1">
        <v>62092.98</v>
      </c>
      <c r="F60" s="1"/>
      <c r="G60" s="1"/>
      <c r="H60" s="1">
        <v>165118.98000000001</v>
      </c>
    </row>
    <row r="61" spans="1:8" x14ac:dyDescent="0.35">
      <c r="A61" s="5" t="s">
        <v>53</v>
      </c>
      <c r="B61" s="1"/>
      <c r="C61" s="1"/>
      <c r="D61" s="1">
        <v>101571.61</v>
      </c>
      <c r="E61" s="1">
        <v>66989.25</v>
      </c>
      <c r="F61" s="1"/>
      <c r="G61" s="1"/>
      <c r="H61" s="1">
        <v>168560.86</v>
      </c>
    </row>
    <row r="62" spans="1:8" x14ac:dyDescent="0.35">
      <c r="A62" s="5" t="s">
        <v>54</v>
      </c>
      <c r="B62" s="1"/>
      <c r="C62" s="1"/>
      <c r="D62" s="1">
        <v>86253.61</v>
      </c>
      <c r="E62" s="1">
        <v>73035.81</v>
      </c>
      <c r="F62" s="1"/>
      <c r="G62" s="1"/>
      <c r="H62" s="1">
        <v>159289.41999999998</v>
      </c>
    </row>
    <row r="63" spans="1:8" x14ac:dyDescent="0.35">
      <c r="A63" s="5" t="s">
        <v>55</v>
      </c>
      <c r="B63" s="1"/>
      <c r="C63" s="1"/>
      <c r="D63" s="1">
        <v>77113.56</v>
      </c>
      <c r="E63" s="1">
        <v>87809.279999999999</v>
      </c>
      <c r="F63" s="1"/>
      <c r="G63" s="1"/>
      <c r="H63" s="1">
        <v>164922.84</v>
      </c>
    </row>
    <row r="64" spans="1:8" x14ac:dyDescent="0.35">
      <c r="A64" s="5" t="s">
        <v>56</v>
      </c>
      <c r="B64" s="1"/>
      <c r="C64" s="1"/>
      <c r="D64" s="1">
        <v>69617.37</v>
      </c>
      <c r="E64" s="1">
        <v>75309.820000000007</v>
      </c>
      <c r="F64" s="1"/>
      <c r="G64" s="1"/>
      <c r="H64" s="1">
        <v>144927.19</v>
      </c>
    </row>
    <row r="65" spans="1:8" x14ac:dyDescent="0.35">
      <c r="A65" s="5" t="s">
        <v>57</v>
      </c>
      <c r="B65" s="1"/>
      <c r="C65" s="1"/>
      <c r="D65" s="1">
        <v>64039.69</v>
      </c>
      <c r="E65" s="1">
        <v>69600.25</v>
      </c>
      <c r="F65" s="1"/>
      <c r="G65" s="1"/>
      <c r="H65" s="1">
        <v>133639.94</v>
      </c>
    </row>
    <row r="66" spans="1:8" x14ac:dyDescent="0.35">
      <c r="A66" s="5" t="s">
        <v>58</v>
      </c>
      <c r="B66" s="1"/>
      <c r="C66" s="1"/>
      <c r="D66" s="1">
        <v>30117.360000000001</v>
      </c>
      <c r="E66" s="1">
        <v>38413.730000000003</v>
      </c>
      <c r="F66" s="1"/>
      <c r="G66" s="1"/>
      <c r="H66" s="1">
        <v>68531.09</v>
      </c>
    </row>
    <row r="67" spans="1:8" x14ac:dyDescent="0.35">
      <c r="A67" s="5" t="s">
        <v>60</v>
      </c>
      <c r="B67" s="1"/>
      <c r="C67" s="1"/>
      <c r="D67" s="1">
        <v>51312.93</v>
      </c>
      <c r="E67" s="1">
        <v>55405.21</v>
      </c>
      <c r="F67" s="1"/>
      <c r="G67" s="1"/>
      <c r="H67" s="1">
        <v>106718.14</v>
      </c>
    </row>
    <row r="68" spans="1:8" x14ac:dyDescent="0.35">
      <c r="A68" s="5" t="s">
        <v>48</v>
      </c>
      <c r="B68" s="1"/>
      <c r="C68" s="1"/>
      <c r="D68" s="1">
        <v>51430.58</v>
      </c>
      <c r="E68" s="1">
        <v>78755.31</v>
      </c>
      <c r="F68" s="1"/>
      <c r="G68" s="1"/>
      <c r="H68" s="1">
        <v>130185.89</v>
      </c>
    </row>
    <row r="69" spans="1:8" x14ac:dyDescent="0.35">
      <c r="A69" s="5" t="s">
        <v>49</v>
      </c>
      <c r="B69" s="1"/>
      <c r="C69" s="1"/>
      <c r="D69" s="1">
        <v>44468.45</v>
      </c>
      <c r="E69" s="1">
        <v>62555.48</v>
      </c>
      <c r="F69" s="1"/>
      <c r="G69" s="1"/>
      <c r="H69" s="1">
        <v>107023.93</v>
      </c>
    </row>
    <row r="70" spans="1:8" x14ac:dyDescent="0.35">
      <c r="A70" s="5" t="s">
        <v>50</v>
      </c>
      <c r="B70" s="1"/>
      <c r="C70" s="1"/>
      <c r="D70" s="1">
        <v>45217.96</v>
      </c>
      <c r="E70" s="1">
        <v>63886.23</v>
      </c>
      <c r="F70" s="1"/>
      <c r="G70" s="1"/>
      <c r="H70" s="1">
        <v>109104.19</v>
      </c>
    </row>
    <row r="71" spans="1:8" x14ac:dyDescent="0.35">
      <c r="A71" s="2" t="s">
        <v>42</v>
      </c>
      <c r="B71" s="1"/>
      <c r="C71" s="1"/>
      <c r="D71" s="1">
        <v>339718.07</v>
      </c>
      <c r="E71" s="1">
        <v>508247.33000000007</v>
      </c>
      <c r="F71" s="1"/>
      <c r="G71" s="1"/>
      <c r="H71" s="1">
        <v>847965.4</v>
      </c>
    </row>
    <row r="72" spans="1:8" x14ac:dyDescent="0.35">
      <c r="A72" s="5" t="s">
        <v>51</v>
      </c>
      <c r="B72" s="1"/>
      <c r="C72" s="1"/>
      <c r="D72" s="1">
        <v>44746.55</v>
      </c>
      <c r="E72" s="1">
        <v>61328.45</v>
      </c>
      <c r="F72" s="1"/>
      <c r="G72" s="1"/>
      <c r="H72" s="1">
        <v>106075</v>
      </c>
    </row>
    <row r="73" spans="1:8" x14ac:dyDescent="0.35">
      <c r="A73" s="5" t="s">
        <v>52</v>
      </c>
      <c r="B73" s="1"/>
      <c r="C73" s="1"/>
      <c r="D73" s="1">
        <v>29157.49</v>
      </c>
      <c r="E73" s="1">
        <v>44066.31</v>
      </c>
      <c r="F73" s="1"/>
      <c r="G73" s="1"/>
      <c r="H73" s="1">
        <v>73223.8</v>
      </c>
    </row>
    <row r="74" spans="1:8" x14ac:dyDescent="0.35">
      <c r="A74" s="5" t="s">
        <v>53</v>
      </c>
      <c r="B74" s="1"/>
      <c r="C74" s="1"/>
      <c r="D74" s="1">
        <v>37395.050000000003</v>
      </c>
      <c r="E74" s="1">
        <v>56709.96</v>
      </c>
      <c r="F74" s="1"/>
      <c r="G74" s="1"/>
      <c r="H74" s="1">
        <v>94105.010000000009</v>
      </c>
    </row>
    <row r="75" spans="1:8" x14ac:dyDescent="0.35">
      <c r="A75" s="5" t="s">
        <v>54</v>
      </c>
      <c r="B75" s="1"/>
      <c r="C75" s="1"/>
      <c r="D75" s="1">
        <v>37819.72</v>
      </c>
      <c r="E75" s="1">
        <v>51814.239999999998</v>
      </c>
      <c r="F75" s="1"/>
      <c r="G75" s="1"/>
      <c r="H75" s="1">
        <v>89633.959999999992</v>
      </c>
    </row>
    <row r="76" spans="1:8" x14ac:dyDescent="0.35">
      <c r="A76" s="5" t="s">
        <v>55</v>
      </c>
      <c r="B76" s="1"/>
      <c r="C76" s="1"/>
      <c r="D76" s="1">
        <v>37204.71</v>
      </c>
      <c r="E76" s="1">
        <v>51121.62</v>
      </c>
      <c r="F76" s="1"/>
      <c r="G76" s="1"/>
      <c r="H76" s="1">
        <v>88326.33</v>
      </c>
    </row>
    <row r="77" spans="1:8" x14ac:dyDescent="0.35">
      <c r="A77" s="5" t="s">
        <v>56</v>
      </c>
      <c r="B77" s="1"/>
      <c r="C77" s="1"/>
      <c r="D77" s="1">
        <v>22026.06</v>
      </c>
      <c r="E77" s="1">
        <v>31194.51</v>
      </c>
      <c r="F77" s="1"/>
      <c r="G77" s="1"/>
      <c r="H77" s="1">
        <v>53220.57</v>
      </c>
    </row>
    <row r="78" spans="1:8" x14ac:dyDescent="0.35">
      <c r="A78" s="5" t="s">
        <v>57</v>
      </c>
      <c r="B78" s="1"/>
      <c r="C78" s="1"/>
      <c r="D78" s="1">
        <v>12462.42</v>
      </c>
      <c r="E78" s="1">
        <v>20211.310000000001</v>
      </c>
      <c r="F78" s="1"/>
      <c r="G78" s="1"/>
      <c r="H78" s="1">
        <v>32673.730000000003</v>
      </c>
    </row>
    <row r="79" spans="1:8" x14ac:dyDescent="0.35">
      <c r="A79" s="5" t="s">
        <v>58</v>
      </c>
      <c r="B79" s="1"/>
      <c r="C79" s="1"/>
      <c r="D79" s="1">
        <v>36380.15</v>
      </c>
      <c r="E79" s="1">
        <v>49730.28</v>
      </c>
      <c r="F79" s="1"/>
      <c r="G79" s="1"/>
      <c r="H79" s="1">
        <v>86110.43</v>
      </c>
    </row>
    <row r="80" spans="1:8" x14ac:dyDescent="0.35">
      <c r="A80" s="5" t="s">
        <v>60</v>
      </c>
      <c r="B80" s="1"/>
      <c r="C80" s="1"/>
      <c r="D80" s="1">
        <v>29999.17</v>
      </c>
      <c r="E80" s="1">
        <v>51053.13</v>
      </c>
      <c r="F80" s="1"/>
      <c r="G80" s="1"/>
      <c r="H80" s="1">
        <v>81052.299999999988</v>
      </c>
    </row>
    <row r="81" spans="1:8" x14ac:dyDescent="0.35">
      <c r="A81" s="5" t="s">
        <v>48</v>
      </c>
      <c r="B81" s="1"/>
      <c r="C81" s="1"/>
      <c r="D81" s="1">
        <v>12647.5</v>
      </c>
      <c r="E81" s="1">
        <v>21807.23</v>
      </c>
      <c r="F81" s="1"/>
      <c r="G81" s="1"/>
      <c r="H81" s="1">
        <v>34454.729999999996</v>
      </c>
    </row>
    <row r="82" spans="1:8" x14ac:dyDescent="0.35">
      <c r="A82" s="5" t="s">
        <v>49</v>
      </c>
      <c r="B82" s="1"/>
      <c r="C82" s="1"/>
      <c r="D82" s="1">
        <v>21789.05</v>
      </c>
      <c r="E82" s="1">
        <v>35043.89</v>
      </c>
      <c r="F82" s="1"/>
      <c r="G82" s="1"/>
      <c r="H82" s="1">
        <v>56832.94</v>
      </c>
    </row>
    <row r="83" spans="1:8" x14ac:dyDescent="0.35">
      <c r="A83" s="5" t="s">
        <v>50</v>
      </c>
      <c r="B83" s="1"/>
      <c r="C83" s="1"/>
      <c r="D83" s="1">
        <v>18090.2</v>
      </c>
      <c r="E83" s="1">
        <v>34166.400000000001</v>
      </c>
      <c r="F83" s="1"/>
      <c r="G83" s="1"/>
      <c r="H83" s="1">
        <v>52256.600000000006</v>
      </c>
    </row>
    <row r="84" spans="1:8" x14ac:dyDescent="0.35">
      <c r="A84" s="2" t="s">
        <v>43</v>
      </c>
      <c r="B84" s="1"/>
      <c r="C84" s="1"/>
      <c r="D84" s="1">
        <v>225822.36</v>
      </c>
      <c r="E84" s="1">
        <v>348383.97</v>
      </c>
      <c r="F84" s="1"/>
      <c r="G84" s="1"/>
      <c r="H84" s="1">
        <v>574206.33000000007</v>
      </c>
    </row>
    <row r="85" spans="1:8" x14ac:dyDescent="0.35">
      <c r="A85" s="5" t="s">
        <v>51</v>
      </c>
      <c r="B85" s="1"/>
      <c r="C85" s="1"/>
      <c r="D85" s="1">
        <v>18217.849999999999</v>
      </c>
      <c r="E85" s="1">
        <v>27309.23</v>
      </c>
      <c r="F85" s="1"/>
      <c r="G85" s="1"/>
      <c r="H85" s="1">
        <v>45527.08</v>
      </c>
    </row>
    <row r="86" spans="1:8" x14ac:dyDescent="0.35">
      <c r="A86" s="5" t="s">
        <v>52</v>
      </c>
      <c r="B86" s="1"/>
      <c r="C86" s="1"/>
      <c r="D86" s="1">
        <v>27362.26</v>
      </c>
      <c r="E86" s="1">
        <v>36797.660000000003</v>
      </c>
      <c r="F86" s="1"/>
      <c r="G86" s="1"/>
      <c r="H86" s="1">
        <v>64159.92</v>
      </c>
    </row>
    <row r="87" spans="1:8" x14ac:dyDescent="0.35">
      <c r="A87" s="5" t="s">
        <v>53</v>
      </c>
      <c r="B87" s="1"/>
      <c r="C87" s="1"/>
      <c r="D87" s="1">
        <v>26679.88</v>
      </c>
      <c r="E87" s="1">
        <v>34745.589999999997</v>
      </c>
      <c r="F87" s="1"/>
      <c r="G87" s="1"/>
      <c r="H87" s="1">
        <v>61425.47</v>
      </c>
    </row>
    <row r="88" spans="1:8" x14ac:dyDescent="0.35">
      <c r="A88" s="5" t="s">
        <v>54</v>
      </c>
      <c r="B88" s="1"/>
      <c r="C88" s="1"/>
      <c r="D88" s="1">
        <v>24088.35</v>
      </c>
      <c r="E88" s="1">
        <v>36509.79</v>
      </c>
      <c r="F88" s="1"/>
      <c r="G88" s="1"/>
      <c r="H88" s="1">
        <v>60598.14</v>
      </c>
    </row>
    <row r="89" spans="1:8" x14ac:dyDescent="0.35">
      <c r="A89" s="5" t="s">
        <v>55</v>
      </c>
      <c r="B89" s="1"/>
      <c r="C89" s="1"/>
      <c r="D89" s="1">
        <v>22415.15</v>
      </c>
      <c r="E89" s="1">
        <v>35051.96</v>
      </c>
      <c r="F89" s="1"/>
      <c r="G89" s="1"/>
      <c r="H89" s="1">
        <v>57467.11</v>
      </c>
    </row>
    <row r="90" spans="1:8" x14ac:dyDescent="0.35">
      <c r="A90" s="5" t="s">
        <v>56</v>
      </c>
      <c r="B90" s="1"/>
      <c r="C90" s="1"/>
      <c r="D90" s="1">
        <v>20887.38</v>
      </c>
      <c r="E90" s="1">
        <v>31665.55</v>
      </c>
      <c r="F90" s="1"/>
      <c r="G90" s="1"/>
      <c r="H90" s="1">
        <v>52552.93</v>
      </c>
    </row>
    <row r="91" spans="1:8" x14ac:dyDescent="0.35">
      <c r="A91" s="5" t="s">
        <v>57</v>
      </c>
      <c r="B91" s="1"/>
      <c r="C91" s="1"/>
      <c r="D91" s="1">
        <v>21206.94</v>
      </c>
      <c r="E91" s="1">
        <v>32960.699999999997</v>
      </c>
      <c r="F91" s="1"/>
      <c r="G91" s="1"/>
      <c r="H91" s="1">
        <v>54167.64</v>
      </c>
    </row>
    <row r="92" spans="1:8" x14ac:dyDescent="0.35">
      <c r="A92" s="5" t="s">
        <v>58</v>
      </c>
      <c r="B92" s="1"/>
      <c r="C92" s="1"/>
      <c r="D92" s="1">
        <v>8998.24</v>
      </c>
      <c r="E92" s="1">
        <v>12689.84</v>
      </c>
      <c r="F92" s="1"/>
      <c r="G92" s="1"/>
      <c r="H92" s="1">
        <v>21688.080000000002</v>
      </c>
    </row>
    <row r="93" spans="1:8" x14ac:dyDescent="0.35">
      <c r="A93" s="5" t="s">
        <v>60</v>
      </c>
      <c r="B93" s="1"/>
      <c r="C93" s="1"/>
      <c r="D93" s="1">
        <v>1013.93</v>
      </c>
      <c r="E93" s="1">
        <v>1655.08</v>
      </c>
      <c r="F93" s="1"/>
      <c r="G93" s="1"/>
      <c r="H93" s="1">
        <v>2669.0099999999998</v>
      </c>
    </row>
    <row r="94" spans="1:8" x14ac:dyDescent="0.35">
      <c r="A94" s="5" t="s">
        <v>48</v>
      </c>
      <c r="B94" s="1"/>
      <c r="C94" s="1"/>
      <c r="D94" s="1">
        <v>19612.849999999999</v>
      </c>
      <c r="E94" s="1">
        <v>33944.019999999997</v>
      </c>
      <c r="F94" s="1"/>
      <c r="G94" s="1"/>
      <c r="H94" s="1">
        <v>53556.869999999995</v>
      </c>
    </row>
    <row r="95" spans="1:8" x14ac:dyDescent="0.35">
      <c r="A95" s="5" t="s">
        <v>49</v>
      </c>
      <c r="B95" s="1"/>
      <c r="C95" s="1"/>
      <c r="D95" s="1">
        <v>19018.88</v>
      </c>
      <c r="E95" s="1">
        <v>34931.660000000003</v>
      </c>
      <c r="F95" s="1"/>
      <c r="G95" s="1"/>
      <c r="H95" s="1">
        <v>53950.540000000008</v>
      </c>
    </row>
    <row r="96" spans="1:8" x14ac:dyDescent="0.35">
      <c r="A96" s="5" t="s">
        <v>50</v>
      </c>
      <c r="B96" s="1"/>
      <c r="C96" s="1"/>
      <c r="D96" s="1">
        <v>16320.65</v>
      </c>
      <c r="E96" s="1">
        <v>30122.89</v>
      </c>
      <c r="F96" s="1"/>
      <c r="G96" s="1"/>
      <c r="H96" s="1">
        <v>46443.54</v>
      </c>
    </row>
    <row r="97" spans="1:8" x14ac:dyDescent="0.35">
      <c r="A97" s="2" t="s">
        <v>44</v>
      </c>
      <c r="B97" s="1"/>
      <c r="C97" s="1">
        <v>156100.83000000002</v>
      </c>
      <c r="D97" s="1">
        <v>138153.49999999997</v>
      </c>
      <c r="E97" s="1">
        <v>263758.2</v>
      </c>
      <c r="F97" s="1"/>
      <c r="G97" s="1"/>
      <c r="H97" s="1">
        <v>558012.53</v>
      </c>
    </row>
    <row r="98" spans="1:8" x14ac:dyDescent="0.35">
      <c r="A98" s="5" t="s">
        <v>51</v>
      </c>
      <c r="B98" s="1"/>
      <c r="C98" s="1"/>
      <c r="D98" s="1">
        <v>17408.57</v>
      </c>
      <c r="E98" s="1">
        <v>30184.799999999999</v>
      </c>
      <c r="F98" s="1"/>
      <c r="G98" s="1"/>
      <c r="H98" s="1">
        <v>47593.369999999995</v>
      </c>
    </row>
    <row r="99" spans="1:8" x14ac:dyDescent="0.35">
      <c r="A99" s="5" t="s">
        <v>52</v>
      </c>
      <c r="B99" s="1"/>
      <c r="C99" s="1"/>
      <c r="D99" s="1">
        <v>15087.38</v>
      </c>
      <c r="E99" s="1">
        <v>26595.53</v>
      </c>
      <c r="F99" s="1"/>
      <c r="G99" s="1"/>
      <c r="H99" s="1">
        <v>41682.909999999996</v>
      </c>
    </row>
    <row r="100" spans="1:8" x14ac:dyDescent="0.35">
      <c r="A100" s="5" t="s">
        <v>53</v>
      </c>
      <c r="B100" s="1"/>
      <c r="C100" s="1"/>
      <c r="D100" s="1">
        <v>6305.81</v>
      </c>
      <c r="E100" s="1">
        <v>18816.52</v>
      </c>
      <c r="F100" s="1"/>
      <c r="G100" s="1"/>
      <c r="H100" s="1">
        <v>25122.33</v>
      </c>
    </row>
    <row r="101" spans="1:8" x14ac:dyDescent="0.35">
      <c r="A101" s="5" t="s">
        <v>54</v>
      </c>
      <c r="B101" s="1"/>
      <c r="C101" s="1"/>
      <c r="D101" s="1">
        <v>12351.34</v>
      </c>
      <c r="E101" s="1">
        <v>22875.42</v>
      </c>
      <c r="F101" s="1"/>
      <c r="G101" s="1"/>
      <c r="H101" s="1">
        <v>35226.759999999995</v>
      </c>
    </row>
    <row r="102" spans="1:8" x14ac:dyDescent="0.35">
      <c r="A102" s="5" t="s">
        <v>55</v>
      </c>
      <c r="B102" s="1"/>
      <c r="C102" s="1"/>
      <c r="D102" s="1">
        <v>16313.4</v>
      </c>
      <c r="E102" s="1">
        <v>27661.53</v>
      </c>
      <c r="F102" s="1"/>
      <c r="G102" s="1"/>
      <c r="H102" s="1">
        <v>43974.93</v>
      </c>
    </row>
    <row r="103" spans="1:8" x14ac:dyDescent="0.35">
      <c r="A103" s="5" t="s">
        <v>56</v>
      </c>
      <c r="B103" s="1"/>
      <c r="C103" s="1"/>
      <c r="D103" s="1">
        <v>11899.57</v>
      </c>
      <c r="E103" s="1">
        <v>22298.26</v>
      </c>
      <c r="F103" s="1"/>
      <c r="G103" s="1"/>
      <c r="H103" s="1">
        <v>34197.83</v>
      </c>
    </row>
    <row r="104" spans="1:8" x14ac:dyDescent="0.35">
      <c r="A104" s="5" t="s">
        <v>57</v>
      </c>
      <c r="B104" s="1"/>
      <c r="C104" s="1">
        <v>3923.08</v>
      </c>
      <c r="D104" s="1">
        <v>11861.63</v>
      </c>
      <c r="E104" s="1">
        <v>22602.78</v>
      </c>
      <c r="F104" s="1"/>
      <c r="G104" s="1"/>
      <c r="H104" s="1">
        <v>38387.49</v>
      </c>
    </row>
    <row r="105" spans="1:8" x14ac:dyDescent="0.35">
      <c r="A105" s="5" t="s">
        <v>58</v>
      </c>
      <c r="B105" s="1"/>
      <c r="C105" s="1">
        <v>25496.07</v>
      </c>
      <c r="D105" s="1">
        <v>15147.18</v>
      </c>
      <c r="E105" s="1">
        <v>21666.9</v>
      </c>
      <c r="F105" s="1"/>
      <c r="G105" s="1"/>
      <c r="H105" s="1">
        <v>62310.15</v>
      </c>
    </row>
    <row r="106" spans="1:8" x14ac:dyDescent="0.35">
      <c r="A106" s="5" t="s">
        <v>60</v>
      </c>
      <c r="B106" s="1"/>
      <c r="C106" s="1">
        <v>23775.08</v>
      </c>
      <c r="D106" s="1">
        <v>9223.5300000000007</v>
      </c>
      <c r="E106" s="1">
        <v>17870.72</v>
      </c>
      <c r="F106" s="1"/>
      <c r="G106" s="1"/>
      <c r="H106" s="1">
        <v>50869.33</v>
      </c>
    </row>
    <row r="107" spans="1:8" x14ac:dyDescent="0.35">
      <c r="A107" s="5" t="s">
        <v>48</v>
      </c>
      <c r="B107" s="1"/>
      <c r="C107" s="1">
        <v>34114.5</v>
      </c>
      <c r="D107" s="1">
        <v>8305.01</v>
      </c>
      <c r="E107" s="1">
        <v>18441.11</v>
      </c>
      <c r="F107" s="1"/>
      <c r="G107" s="1"/>
      <c r="H107" s="1">
        <v>60860.62</v>
      </c>
    </row>
    <row r="108" spans="1:8" x14ac:dyDescent="0.35">
      <c r="A108" s="5" t="s">
        <v>49</v>
      </c>
      <c r="B108" s="1"/>
      <c r="C108" s="1">
        <v>35386.35</v>
      </c>
      <c r="D108" s="1">
        <v>7170.56</v>
      </c>
      <c r="E108" s="1">
        <v>19248.66</v>
      </c>
      <c r="F108" s="1"/>
      <c r="G108" s="1"/>
      <c r="H108" s="1">
        <v>61805.569999999992</v>
      </c>
    </row>
    <row r="109" spans="1:8" x14ac:dyDescent="0.35">
      <c r="A109" s="5" t="s">
        <v>50</v>
      </c>
      <c r="B109" s="1"/>
      <c r="C109" s="1">
        <v>33405.75</v>
      </c>
      <c r="D109" s="1">
        <v>7079.52</v>
      </c>
      <c r="E109" s="1">
        <v>15495.97</v>
      </c>
      <c r="F109" s="1"/>
      <c r="G109" s="1"/>
      <c r="H109" s="1">
        <v>55981.240000000005</v>
      </c>
    </row>
    <row r="110" spans="1:8" x14ac:dyDescent="0.35">
      <c r="A110" s="2" t="s">
        <v>45</v>
      </c>
      <c r="B110" s="1">
        <v>103185.39999999997</v>
      </c>
      <c r="C110" s="1">
        <v>362223.02999999997</v>
      </c>
      <c r="D110" s="1">
        <v>57998.8</v>
      </c>
      <c r="E110" s="1">
        <v>151564.46000000002</v>
      </c>
      <c r="F110" s="1">
        <v>68135.8</v>
      </c>
      <c r="G110" s="1"/>
      <c r="H110" s="1">
        <v>743107.48999999987</v>
      </c>
    </row>
    <row r="111" spans="1:8" x14ac:dyDescent="0.35">
      <c r="A111" s="5" t="s">
        <v>51</v>
      </c>
      <c r="B111" s="1"/>
      <c r="C111" s="1">
        <v>34552.370000000003</v>
      </c>
      <c r="D111" s="1">
        <v>4997.24</v>
      </c>
      <c r="E111" s="1">
        <v>16686.580000000002</v>
      </c>
      <c r="F111" s="1">
        <v>5674.63</v>
      </c>
      <c r="G111" s="1"/>
      <c r="H111" s="1">
        <v>61910.82</v>
      </c>
    </row>
    <row r="112" spans="1:8" x14ac:dyDescent="0.35">
      <c r="A112" s="5" t="s">
        <v>52</v>
      </c>
      <c r="B112" s="1"/>
      <c r="C112" s="1">
        <v>28189.97</v>
      </c>
      <c r="D112" s="1">
        <v>6101.4</v>
      </c>
      <c r="E112" s="1">
        <v>14766.13</v>
      </c>
      <c r="F112" s="1">
        <v>7898.6</v>
      </c>
      <c r="G112" s="1"/>
      <c r="H112" s="1">
        <v>56956.1</v>
      </c>
    </row>
    <row r="113" spans="1:8" x14ac:dyDescent="0.35">
      <c r="A113" s="5" t="s">
        <v>53</v>
      </c>
      <c r="B113" s="1"/>
      <c r="C113" s="1">
        <v>33290.79</v>
      </c>
      <c r="D113" s="1">
        <v>6835.66</v>
      </c>
      <c r="E113" s="1">
        <v>14954.84</v>
      </c>
      <c r="F113" s="1">
        <v>7081.47</v>
      </c>
      <c r="G113" s="1"/>
      <c r="H113" s="1">
        <v>62162.759999999995</v>
      </c>
    </row>
    <row r="114" spans="1:8" x14ac:dyDescent="0.35">
      <c r="A114" s="5" t="s">
        <v>54</v>
      </c>
      <c r="B114" s="1">
        <v>11142.47</v>
      </c>
      <c r="C114" s="1">
        <v>35428.730000000003</v>
      </c>
      <c r="D114" s="1">
        <v>5892.01</v>
      </c>
      <c r="E114" s="1">
        <v>16572.240000000002</v>
      </c>
      <c r="F114" s="1">
        <v>7163.3</v>
      </c>
      <c r="G114" s="1"/>
      <c r="H114" s="1">
        <v>76198.750000000015</v>
      </c>
    </row>
    <row r="115" spans="1:8" x14ac:dyDescent="0.35">
      <c r="A115" s="5" t="s">
        <v>55</v>
      </c>
      <c r="B115" s="1">
        <v>24901.95</v>
      </c>
      <c r="C115" s="1">
        <v>34831.879999999997</v>
      </c>
      <c r="D115" s="1">
        <v>3237.7</v>
      </c>
      <c r="E115" s="1">
        <v>13637.02</v>
      </c>
      <c r="F115" s="1">
        <v>7218.61</v>
      </c>
      <c r="G115" s="1"/>
      <c r="H115" s="1">
        <v>83827.16</v>
      </c>
    </row>
    <row r="116" spans="1:8" x14ac:dyDescent="0.35">
      <c r="A116" s="5" t="s">
        <v>56</v>
      </c>
      <c r="B116" s="1">
        <v>19617.759999999998</v>
      </c>
      <c r="C116" s="1">
        <v>33898.639999999999</v>
      </c>
      <c r="D116" s="1">
        <v>5751.2</v>
      </c>
      <c r="E116" s="1">
        <v>13257.99</v>
      </c>
      <c r="F116" s="1">
        <v>7012.55</v>
      </c>
      <c r="G116" s="1"/>
      <c r="H116" s="1">
        <v>79538.14</v>
      </c>
    </row>
    <row r="117" spans="1:8" x14ac:dyDescent="0.35">
      <c r="A117" s="5" t="s">
        <v>57</v>
      </c>
      <c r="B117" s="1">
        <v>15085.68</v>
      </c>
      <c r="C117" s="1">
        <v>33760.33</v>
      </c>
      <c r="D117" s="1">
        <v>5791.84</v>
      </c>
      <c r="E117" s="1">
        <v>13495.98</v>
      </c>
      <c r="F117" s="1">
        <v>6847.42</v>
      </c>
      <c r="G117" s="1"/>
      <c r="H117" s="1">
        <v>74981.25</v>
      </c>
    </row>
    <row r="118" spans="1:8" x14ac:dyDescent="0.35">
      <c r="A118" s="5" t="s">
        <v>58</v>
      </c>
      <c r="B118" s="1">
        <v>6970.43</v>
      </c>
      <c r="C118" s="1">
        <v>26037.54</v>
      </c>
      <c r="D118" s="1">
        <v>4448.49</v>
      </c>
      <c r="E118" s="1">
        <v>8443.73</v>
      </c>
      <c r="F118" s="1">
        <v>3475.39</v>
      </c>
      <c r="G118" s="1"/>
      <c r="H118" s="1">
        <v>49375.58</v>
      </c>
    </row>
    <row r="119" spans="1:8" x14ac:dyDescent="0.35">
      <c r="A119" s="5" t="s">
        <v>60</v>
      </c>
      <c r="B119" s="1">
        <v>9168.43</v>
      </c>
      <c r="C119" s="1">
        <v>33221.64</v>
      </c>
      <c r="D119" s="1">
        <v>5062.59</v>
      </c>
      <c r="E119" s="1">
        <v>9622.2099999999991</v>
      </c>
      <c r="F119" s="1">
        <v>5314.55</v>
      </c>
      <c r="G119" s="1"/>
      <c r="H119" s="1">
        <v>62389.420000000006</v>
      </c>
    </row>
    <row r="120" spans="1:8" x14ac:dyDescent="0.35">
      <c r="A120" s="5" t="s">
        <v>48</v>
      </c>
      <c r="B120" s="1">
        <v>9468.06</v>
      </c>
      <c r="C120" s="1">
        <v>33851.72</v>
      </c>
      <c r="D120" s="1">
        <v>5385.61</v>
      </c>
      <c r="E120" s="1">
        <v>10076.219999999999</v>
      </c>
      <c r="F120" s="1">
        <v>5732.97</v>
      </c>
      <c r="G120" s="1"/>
      <c r="H120" s="1">
        <v>64514.58</v>
      </c>
    </row>
    <row r="121" spans="1:8" x14ac:dyDescent="0.35">
      <c r="A121" s="5" t="s">
        <v>49</v>
      </c>
      <c r="B121" s="1">
        <v>6710.33</v>
      </c>
      <c r="C121" s="1">
        <v>26611.5</v>
      </c>
      <c r="D121" s="1">
        <v>4495.0600000000004</v>
      </c>
      <c r="E121" s="1">
        <v>10386.41</v>
      </c>
      <c r="F121" s="1">
        <v>4716.3100000000004</v>
      </c>
      <c r="G121" s="1"/>
      <c r="H121" s="1">
        <v>52919.61</v>
      </c>
    </row>
    <row r="122" spans="1:8" x14ac:dyDescent="0.35">
      <c r="A122" s="5" t="s">
        <v>50</v>
      </c>
      <c r="B122" s="1">
        <v>120.29</v>
      </c>
      <c r="C122" s="1">
        <v>8547.92</v>
      </c>
      <c r="D122" s="1"/>
      <c r="E122" s="1">
        <v>9665.11</v>
      </c>
      <c r="F122" s="1"/>
      <c r="G122" s="1"/>
      <c r="H122" s="1">
        <v>18333.32</v>
      </c>
    </row>
    <row r="123" spans="1:8" x14ac:dyDescent="0.35">
      <c r="A123" s="2" t="s">
        <v>46</v>
      </c>
      <c r="B123" s="1">
        <v>62235.270000000004</v>
      </c>
      <c r="C123" s="1">
        <v>465817.60000000009</v>
      </c>
      <c r="D123" s="1">
        <v>200201.18000000002</v>
      </c>
      <c r="E123" s="1">
        <v>78395.709999999992</v>
      </c>
      <c r="F123" s="1">
        <v>55099.3</v>
      </c>
      <c r="G123" s="1"/>
      <c r="H123" s="1">
        <v>861749.06</v>
      </c>
    </row>
    <row r="124" spans="1:8" x14ac:dyDescent="0.35">
      <c r="A124" s="5" t="s">
        <v>51</v>
      </c>
      <c r="B124" s="1">
        <v>10875.53</v>
      </c>
      <c r="C124" s="1">
        <v>29561.8</v>
      </c>
      <c r="D124" s="1">
        <v>25712.55</v>
      </c>
      <c r="E124" s="1">
        <v>9120.98</v>
      </c>
      <c r="F124" s="1">
        <v>5975.51</v>
      </c>
      <c r="G124" s="1"/>
      <c r="H124" s="1">
        <v>81246.37</v>
      </c>
    </row>
    <row r="125" spans="1:8" x14ac:dyDescent="0.35">
      <c r="A125" s="5" t="s">
        <v>52</v>
      </c>
      <c r="B125" s="1">
        <v>9586.64</v>
      </c>
      <c r="C125" s="1">
        <v>25347.22</v>
      </c>
      <c r="D125" s="1">
        <v>19578.55</v>
      </c>
      <c r="E125" s="1">
        <v>7178.8</v>
      </c>
      <c r="F125" s="1">
        <v>4581.29</v>
      </c>
      <c r="G125" s="1"/>
      <c r="H125" s="1">
        <v>66272.5</v>
      </c>
    </row>
    <row r="126" spans="1:8" x14ac:dyDescent="0.35">
      <c r="A126" s="5" t="s">
        <v>53</v>
      </c>
      <c r="B126" s="1">
        <v>5879.22</v>
      </c>
      <c r="C126" s="1">
        <v>44316.19</v>
      </c>
      <c r="D126" s="1">
        <v>19341.43</v>
      </c>
      <c r="E126" s="1">
        <v>8069.04</v>
      </c>
      <c r="F126" s="1">
        <v>4133.47</v>
      </c>
      <c r="G126" s="1"/>
      <c r="H126" s="1">
        <v>81739.349999999991</v>
      </c>
    </row>
    <row r="127" spans="1:8" x14ac:dyDescent="0.35">
      <c r="A127" s="5" t="s">
        <v>54</v>
      </c>
      <c r="B127" s="1">
        <v>3924.18</v>
      </c>
      <c r="C127" s="1">
        <v>54555.76</v>
      </c>
      <c r="D127" s="1">
        <v>19796.560000000001</v>
      </c>
      <c r="E127" s="1">
        <v>7687.2</v>
      </c>
      <c r="F127" s="1">
        <v>4259.92</v>
      </c>
      <c r="G127" s="1"/>
      <c r="H127" s="1">
        <v>90223.62</v>
      </c>
    </row>
    <row r="128" spans="1:8" x14ac:dyDescent="0.35">
      <c r="A128" s="5" t="s">
        <v>55</v>
      </c>
      <c r="B128" s="1">
        <v>3832.69</v>
      </c>
      <c r="C128" s="1">
        <v>55029.22</v>
      </c>
      <c r="D128" s="1">
        <v>16996.48</v>
      </c>
      <c r="E128" s="1">
        <v>7147.79</v>
      </c>
      <c r="F128" s="1">
        <v>4057.96</v>
      </c>
      <c r="G128" s="1"/>
      <c r="H128" s="1">
        <v>87064.14</v>
      </c>
    </row>
    <row r="129" spans="1:8" x14ac:dyDescent="0.35">
      <c r="A129" s="5" t="s">
        <v>56</v>
      </c>
      <c r="B129" s="1">
        <v>6344.5</v>
      </c>
      <c r="C129" s="1">
        <v>48231.1</v>
      </c>
      <c r="D129" s="1">
        <v>19536.3</v>
      </c>
      <c r="E129" s="1">
        <v>6069.93</v>
      </c>
      <c r="F129" s="1">
        <v>3665.8</v>
      </c>
      <c r="G129" s="1"/>
      <c r="H129" s="1">
        <v>83847.62999999999</v>
      </c>
    </row>
    <row r="130" spans="1:8" x14ac:dyDescent="0.35">
      <c r="A130" s="5" t="s">
        <v>57</v>
      </c>
      <c r="B130" s="1">
        <v>2093.9499999999998</v>
      </c>
      <c r="C130" s="1">
        <v>43784.66</v>
      </c>
      <c r="D130" s="1">
        <v>19157.45</v>
      </c>
      <c r="E130" s="1">
        <v>6720.74</v>
      </c>
      <c r="F130" s="1">
        <v>2238.4499999999998</v>
      </c>
      <c r="G130" s="1"/>
      <c r="H130" s="1">
        <v>73995.25</v>
      </c>
    </row>
    <row r="131" spans="1:8" x14ac:dyDescent="0.35">
      <c r="A131" s="5" t="s">
        <v>58</v>
      </c>
      <c r="B131" s="1">
        <v>2871.02</v>
      </c>
      <c r="C131" s="1">
        <v>31498.15</v>
      </c>
      <c r="D131" s="1">
        <v>13473.27</v>
      </c>
      <c r="E131" s="1">
        <v>4876.3100000000004</v>
      </c>
      <c r="F131" s="1">
        <v>3577.67</v>
      </c>
      <c r="G131" s="1"/>
      <c r="H131" s="1">
        <v>56296.42</v>
      </c>
    </row>
    <row r="132" spans="1:8" x14ac:dyDescent="0.35">
      <c r="A132" s="5" t="s">
        <v>60</v>
      </c>
      <c r="B132" s="1">
        <v>6460.27</v>
      </c>
      <c r="C132" s="1">
        <v>31424.59</v>
      </c>
      <c r="D132" s="1">
        <v>12494.51</v>
      </c>
      <c r="E132" s="1">
        <v>5300.41</v>
      </c>
      <c r="F132" s="1">
        <v>7417.35</v>
      </c>
      <c r="G132" s="1"/>
      <c r="H132" s="1">
        <v>63097.13</v>
      </c>
    </row>
    <row r="133" spans="1:8" x14ac:dyDescent="0.35">
      <c r="A133" s="5" t="s">
        <v>48</v>
      </c>
      <c r="B133" s="1">
        <v>4085.8</v>
      </c>
      <c r="C133" s="1">
        <v>29724.78</v>
      </c>
      <c r="D133" s="1">
        <v>11888.63</v>
      </c>
      <c r="E133" s="1">
        <v>5634.86</v>
      </c>
      <c r="F133" s="1">
        <v>6346.83</v>
      </c>
      <c r="G133" s="1"/>
      <c r="H133" s="1">
        <v>57680.9</v>
      </c>
    </row>
    <row r="134" spans="1:8" x14ac:dyDescent="0.35">
      <c r="A134" s="5" t="s">
        <v>49</v>
      </c>
      <c r="B134" s="1">
        <v>3332.05</v>
      </c>
      <c r="C134" s="1">
        <v>36410.230000000003</v>
      </c>
      <c r="D134" s="1">
        <v>11369.48</v>
      </c>
      <c r="E134" s="1">
        <v>5431.56</v>
      </c>
      <c r="F134" s="1">
        <v>3926.01</v>
      </c>
      <c r="G134" s="1"/>
      <c r="H134" s="1">
        <v>60469.330000000009</v>
      </c>
    </row>
    <row r="135" spans="1:8" x14ac:dyDescent="0.35">
      <c r="A135" s="5" t="s">
        <v>50</v>
      </c>
      <c r="B135" s="1">
        <v>2949.42</v>
      </c>
      <c r="C135" s="1">
        <v>35933.9</v>
      </c>
      <c r="D135" s="1">
        <v>10855.97</v>
      </c>
      <c r="E135" s="1">
        <v>5158.09</v>
      </c>
      <c r="F135" s="1">
        <v>4919.04</v>
      </c>
      <c r="G135" s="1"/>
      <c r="H135" s="1">
        <v>59816.420000000006</v>
      </c>
    </row>
    <row r="136" spans="1:8" x14ac:dyDescent="0.35">
      <c r="A136" s="2" t="s">
        <v>47</v>
      </c>
      <c r="B136" s="1">
        <v>12288.66</v>
      </c>
      <c r="C136" s="1">
        <v>163707.64000000001</v>
      </c>
      <c r="D136" s="1">
        <v>47900.489999999991</v>
      </c>
      <c r="E136" s="1">
        <v>23029.129999999997</v>
      </c>
      <c r="F136" s="1">
        <v>25283.460000000003</v>
      </c>
      <c r="G136" s="1">
        <v>37760.07</v>
      </c>
      <c r="H136" s="1">
        <v>309969.44999999995</v>
      </c>
    </row>
    <row r="137" spans="1:8" x14ac:dyDescent="0.35">
      <c r="A137" s="5" t="s">
        <v>51</v>
      </c>
      <c r="B137" s="1">
        <v>2981.44</v>
      </c>
      <c r="C137" s="1">
        <v>31603.26</v>
      </c>
      <c r="D137" s="1">
        <v>9494.98</v>
      </c>
      <c r="E137" s="1">
        <v>4606.3</v>
      </c>
      <c r="F137" s="1">
        <v>2890.93</v>
      </c>
      <c r="G137" s="1"/>
      <c r="H137" s="1">
        <v>51576.909999999996</v>
      </c>
    </row>
    <row r="138" spans="1:8" x14ac:dyDescent="0.35">
      <c r="A138" s="5" t="s">
        <v>52</v>
      </c>
      <c r="B138" s="1">
        <v>4718.03</v>
      </c>
      <c r="C138" s="1">
        <v>25954.57</v>
      </c>
      <c r="D138" s="1">
        <v>7644.12</v>
      </c>
      <c r="E138" s="1">
        <v>3941.77</v>
      </c>
      <c r="F138" s="1">
        <v>5109.33</v>
      </c>
      <c r="G138" s="1"/>
      <c r="H138" s="1">
        <v>47367.82</v>
      </c>
    </row>
    <row r="139" spans="1:8" x14ac:dyDescent="0.35">
      <c r="A139" s="5" t="s">
        <v>53</v>
      </c>
      <c r="B139" s="1">
        <v>2917.5</v>
      </c>
      <c r="C139" s="1">
        <v>25023.66</v>
      </c>
      <c r="D139" s="1">
        <v>7359.93</v>
      </c>
      <c r="E139" s="1">
        <v>3753.8</v>
      </c>
      <c r="F139" s="1">
        <v>3747.55</v>
      </c>
      <c r="G139" s="1"/>
      <c r="H139" s="1">
        <v>42802.44</v>
      </c>
    </row>
    <row r="140" spans="1:8" x14ac:dyDescent="0.35">
      <c r="A140" s="5" t="s">
        <v>54</v>
      </c>
      <c r="B140" s="1">
        <v>1671.69</v>
      </c>
      <c r="C140" s="1">
        <v>13429</v>
      </c>
      <c r="D140" s="1">
        <v>6152.17</v>
      </c>
      <c r="E140" s="1">
        <v>3112.41</v>
      </c>
      <c r="F140" s="1">
        <v>4544.16</v>
      </c>
      <c r="G140" s="1"/>
      <c r="H140" s="1">
        <v>28909.43</v>
      </c>
    </row>
    <row r="141" spans="1:8" x14ac:dyDescent="0.35">
      <c r="A141" s="5" t="s">
        <v>55</v>
      </c>
      <c r="B141" s="1"/>
      <c r="C141" s="1">
        <v>15528.75</v>
      </c>
      <c r="D141" s="1">
        <v>5865.13</v>
      </c>
      <c r="E141" s="1">
        <v>3212.96</v>
      </c>
      <c r="F141" s="1">
        <v>4699.01</v>
      </c>
      <c r="G141" s="1">
        <v>9724.4</v>
      </c>
      <c r="H141" s="1">
        <v>39030.25</v>
      </c>
    </row>
    <row r="142" spans="1:8" x14ac:dyDescent="0.35">
      <c r="A142" s="5" t="s">
        <v>56</v>
      </c>
      <c r="B142" s="1"/>
      <c r="C142" s="1">
        <v>14590.61</v>
      </c>
      <c r="D142" s="1">
        <v>5408.31</v>
      </c>
      <c r="E142" s="1">
        <v>3075.03</v>
      </c>
      <c r="F142" s="1">
        <v>3463.91</v>
      </c>
      <c r="G142" s="1">
        <v>9121.48</v>
      </c>
      <c r="H142" s="1">
        <v>35659.339999999997</v>
      </c>
    </row>
    <row r="143" spans="1:8" x14ac:dyDescent="0.35">
      <c r="A143" s="5" t="s">
        <v>57</v>
      </c>
      <c r="B143" s="1"/>
      <c r="C143" s="1">
        <v>14384.88</v>
      </c>
      <c r="D143" s="1">
        <v>4533.82</v>
      </c>
      <c r="E143" s="1">
        <v>1326.86</v>
      </c>
      <c r="F143" s="1">
        <v>828.57</v>
      </c>
      <c r="G143" s="1">
        <v>9985.2900000000009</v>
      </c>
      <c r="H143" s="1">
        <v>31059.42</v>
      </c>
    </row>
    <row r="144" spans="1:8" x14ac:dyDescent="0.35">
      <c r="A144" s="5" t="s">
        <v>58</v>
      </c>
      <c r="B144" s="1"/>
      <c r="C144" s="1">
        <v>14583.73</v>
      </c>
      <c r="D144" s="1">
        <v>1442.03</v>
      </c>
      <c r="E144" s="1"/>
      <c r="F144" s="1"/>
      <c r="G144" s="1">
        <v>8928.9</v>
      </c>
      <c r="H144" s="1">
        <v>24954.66</v>
      </c>
    </row>
    <row r="145" spans="1:8" x14ac:dyDescent="0.35">
      <c r="A145" s="5" t="s">
        <v>60</v>
      </c>
      <c r="B145" s="1"/>
      <c r="C145" s="1">
        <v>8609.18</v>
      </c>
      <c r="D145" s="1"/>
      <c r="E145" s="1"/>
      <c r="F145" s="1"/>
      <c r="G145" s="1"/>
      <c r="H145" s="1">
        <v>8609.18</v>
      </c>
    </row>
    <row r="146" spans="1:8" x14ac:dyDescent="0.35">
      <c r="A146" s="2" t="s">
        <v>29</v>
      </c>
      <c r="B146" s="1">
        <v>177709.32999999996</v>
      </c>
      <c r="C146" s="1">
        <v>1147849.0999999999</v>
      </c>
      <c r="D146" s="1">
        <v>4579609.549999998</v>
      </c>
      <c r="E146" s="1">
        <v>3942233.39</v>
      </c>
      <c r="F146" s="1">
        <v>148518.56</v>
      </c>
      <c r="G146" s="1">
        <v>37760.07</v>
      </c>
      <c r="H146" s="1">
        <v>10033680</v>
      </c>
    </row>
    <row r="158" spans="1:8" x14ac:dyDescent="0.35">
      <c r="A158" s="4" t="s">
        <v>59</v>
      </c>
      <c r="B158" t="s">
        <v>21</v>
      </c>
    </row>
    <row r="160" spans="1:8" x14ac:dyDescent="0.35">
      <c r="A160" s="4" t="s">
        <v>63</v>
      </c>
      <c r="B160" s="4" t="s">
        <v>38</v>
      </c>
    </row>
    <row r="161" spans="1:8" x14ac:dyDescent="0.35">
      <c r="A161" s="4" t="s">
        <v>28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7</v>
      </c>
      <c r="H161" t="s">
        <v>29</v>
      </c>
    </row>
    <row r="162" spans="1:8" x14ac:dyDescent="0.35">
      <c r="A162" s="2" t="s">
        <v>39</v>
      </c>
      <c r="B162" s="26"/>
      <c r="C162" s="26"/>
      <c r="D162" s="26">
        <v>3834.9607285396387</v>
      </c>
      <c r="E162" s="26">
        <v>3715.7467438543063</v>
      </c>
      <c r="F162" s="26"/>
      <c r="G162" s="26"/>
      <c r="H162" s="26">
        <v>3792.8852045330518</v>
      </c>
    </row>
    <row r="163" spans="1:8" x14ac:dyDescent="0.35">
      <c r="A163" s="5" t="s">
        <v>52</v>
      </c>
      <c r="B163" s="26"/>
      <c r="C163" s="26"/>
      <c r="D163" s="26">
        <v>2897.4742550869782</v>
      </c>
      <c r="E163" s="26"/>
      <c r="F163" s="26"/>
      <c r="G163" s="26"/>
      <c r="H163" s="26">
        <v>2897.4742550869782</v>
      </c>
    </row>
    <row r="164" spans="1:8" x14ac:dyDescent="0.35">
      <c r="A164" s="5" t="s">
        <v>53</v>
      </c>
      <c r="B164" s="26"/>
      <c r="C164" s="26"/>
      <c r="D164" s="26">
        <v>3053.9532438252882</v>
      </c>
      <c r="E164" s="26"/>
      <c r="F164" s="26"/>
      <c r="G164" s="26"/>
      <c r="H164" s="26">
        <v>3053.9532438252882</v>
      </c>
    </row>
    <row r="165" spans="1:8" x14ac:dyDescent="0.35">
      <c r="A165" s="5" t="s">
        <v>54</v>
      </c>
      <c r="B165" s="26"/>
      <c r="C165" s="26"/>
      <c r="D165" s="26">
        <v>2914.9980218257847</v>
      </c>
      <c r="E165" s="26"/>
      <c r="F165" s="26"/>
      <c r="G165" s="26"/>
      <c r="H165" s="26">
        <v>2914.9980218257847</v>
      </c>
    </row>
    <row r="166" spans="1:8" x14ac:dyDescent="0.35">
      <c r="A166" s="5" t="s">
        <v>55</v>
      </c>
      <c r="B166" s="26"/>
      <c r="C166" s="26"/>
      <c r="D166" s="26">
        <v>4204.8596292665616</v>
      </c>
      <c r="E166" s="26"/>
      <c r="F166" s="26"/>
      <c r="G166" s="26"/>
      <c r="H166" s="26">
        <v>4204.8596292665616</v>
      </c>
    </row>
    <row r="167" spans="1:8" x14ac:dyDescent="0.35">
      <c r="A167" s="5" t="s">
        <v>56</v>
      </c>
      <c r="B167" s="26"/>
      <c r="C167" s="26"/>
      <c r="D167" s="26">
        <v>5105.4877783828651</v>
      </c>
      <c r="E167" s="26"/>
      <c r="F167" s="26"/>
      <c r="G167" s="26"/>
      <c r="H167" s="26">
        <v>5105.4877783828651</v>
      </c>
    </row>
    <row r="168" spans="1:8" x14ac:dyDescent="0.35">
      <c r="A168" s="5" t="s">
        <v>57</v>
      </c>
      <c r="B168" s="26"/>
      <c r="C168" s="26"/>
      <c r="D168" s="26">
        <v>3883.085562806119</v>
      </c>
      <c r="E168" s="26">
        <v>2812.9028955367144</v>
      </c>
      <c r="F168" s="26"/>
      <c r="G168" s="26"/>
      <c r="H168" s="26">
        <v>3347.9942291714169</v>
      </c>
    </row>
    <row r="169" spans="1:8" x14ac:dyDescent="0.35">
      <c r="A169" s="5" t="s">
        <v>58</v>
      </c>
      <c r="B169" s="26"/>
      <c r="C169" s="26"/>
      <c r="D169" s="26">
        <v>3489.3322022359953</v>
      </c>
      <c r="E169" s="26">
        <v>3540.3769633507854</v>
      </c>
      <c r="F169" s="26"/>
      <c r="G169" s="26"/>
      <c r="H169" s="26">
        <v>3514.8545827933904</v>
      </c>
    </row>
    <row r="170" spans="1:8" x14ac:dyDescent="0.35">
      <c r="A170" s="5" t="s">
        <v>60</v>
      </c>
      <c r="B170" s="26"/>
      <c r="C170" s="26"/>
      <c r="D170" s="26">
        <v>3281.8466179294264</v>
      </c>
      <c r="E170" s="26">
        <v>4279.2509628745584</v>
      </c>
      <c r="F170" s="26"/>
      <c r="G170" s="26"/>
      <c r="H170" s="26">
        <v>3780.5487904019924</v>
      </c>
    </row>
    <row r="171" spans="1:8" x14ac:dyDescent="0.35">
      <c r="A171" s="5" t="s">
        <v>48</v>
      </c>
      <c r="B171" s="26"/>
      <c r="C171" s="26"/>
      <c r="D171" s="26">
        <v>3070.6081210765001</v>
      </c>
      <c r="E171" s="26">
        <v>4616.3090101010102</v>
      </c>
      <c r="F171" s="26"/>
      <c r="G171" s="26"/>
      <c r="H171" s="26">
        <v>3843.4585655887549</v>
      </c>
    </row>
    <row r="172" spans="1:8" x14ac:dyDescent="0.35">
      <c r="A172" s="5" t="s">
        <v>49</v>
      </c>
      <c r="B172" s="26"/>
      <c r="C172" s="26"/>
      <c r="D172" s="26">
        <v>4913.9009685972824</v>
      </c>
      <c r="E172" s="26">
        <v>3490.8251473918044</v>
      </c>
      <c r="F172" s="26"/>
      <c r="G172" s="26"/>
      <c r="H172" s="26">
        <v>4202.3630579945439</v>
      </c>
    </row>
    <row r="173" spans="1:8" x14ac:dyDescent="0.35">
      <c r="A173" s="5" t="s">
        <v>50</v>
      </c>
      <c r="B173" s="26"/>
      <c r="C173" s="26"/>
      <c r="D173" s="26">
        <v>5369.021612903226</v>
      </c>
      <c r="E173" s="26">
        <v>3554.8154838709679</v>
      </c>
      <c r="F173" s="26"/>
      <c r="G173" s="26"/>
      <c r="H173" s="26">
        <v>4461.918548387097</v>
      </c>
    </row>
    <row r="174" spans="1:8" x14ac:dyDescent="0.35">
      <c r="A174" s="2" t="s">
        <v>40</v>
      </c>
      <c r="B174" s="26"/>
      <c r="C174" s="26"/>
      <c r="D174" s="26">
        <v>4572.8496183581419</v>
      </c>
      <c r="E174" s="26">
        <v>3624.7267837261006</v>
      </c>
      <c r="F174" s="26"/>
      <c r="G174" s="26"/>
      <c r="H174" s="26">
        <v>4098.7882010421208</v>
      </c>
    </row>
    <row r="175" spans="1:8" x14ac:dyDescent="0.35">
      <c r="A175" s="5" t="s">
        <v>51</v>
      </c>
      <c r="B175" s="26"/>
      <c r="C175" s="26"/>
      <c r="D175" s="26">
        <v>4978.5177588934584</v>
      </c>
      <c r="E175" s="26">
        <v>3933.4586228659564</v>
      </c>
      <c r="F175" s="26"/>
      <c r="G175" s="26"/>
      <c r="H175" s="26">
        <v>4455.988190879707</v>
      </c>
    </row>
    <row r="176" spans="1:8" x14ac:dyDescent="0.35">
      <c r="A176" s="5" t="s">
        <v>52</v>
      </c>
      <c r="B176" s="26"/>
      <c r="C176" s="26"/>
      <c r="D176" s="26">
        <v>4457.844067622239</v>
      </c>
      <c r="E176" s="26">
        <v>4281.1279930843912</v>
      </c>
      <c r="F176" s="26"/>
      <c r="G176" s="26"/>
      <c r="H176" s="26">
        <v>4369.4860303533151</v>
      </c>
    </row>
    <row r="177" spans="1:8" x14ac:dyDescent="0.35">
      <c r="A177" s="5" t="s">
        <v>53</v>
      </c>
      <c r="B177" s="26"/>
      <c r="C177" s="26"/>
      <c r="D177" s="26">
        <v>4406.206077600973</v>
      </c>
      <c r="E177" s="26">
        <v>4098.4418089464516</v>
      </c>
      <c r="F177" s="26"/>
      <c r="G177" s="26"/>
      <c r="H177" s="26">
        <v>4252.3239432737118</v>
      </c>
    </row>
    <row r="178" spans="1:8" x14ac:dyDescent="0.35">
      <c r="A178" s="5" t="s">
        <v>54</v>
      </c>
      <c r="B178" s="26"/>
      <c r="C178" s="26"/>
      <c r="D178" s="26">
        <v>5037.6866325020319</v>
      </c>
      <c r="E178" s="26">
        <v>3881.1905526543428</v>
      </c>
      <c r="F178" s="26"/>
      <c r="G178" s="26"/>
      <c r="H178" s="26">
        <v>4459.4385925781871</v>
      </c>
    </row>
    <row r="179" spans="1:8" x14ac:dyDescent="0.35">
      <c r="A179" s="5" t="s">
        <v>55</v>
      </c>
      <c r="B179" s="26"/>
      <c r="C179" s="26"/>
      <c r="D179" s="26">
        <v>4869.2442183576532</v>
      </c>
      <c r="E179" s="26">
        <v>4013.7249711433542</v>
      </c>
      <c r="F179" s="26"/>
      <c r="G179" s="26"/>
      <c r="H179" s="26">
        <v>4441.4845947505037</v>
      </c>
    </row>
    <row r="180" spans="1:8" x14ac:dyDescent="0.35">
      <c r="A180" s="5" t="s">
        <v>56</v>
      </c>
      <c r="B180" s="26"/>
      <c r="C180" s="26"/>
      <c r="D180" s="26">
        <v>4443.2252423702812</v>
      </c>
      <c r="E180" s="26">
        <v>3005.7765285670334</v>
      </c>
      <c r="F180" s="26"/>
      <c r="G180" s="26"/>
      <c r="H180" s="26">
        <v>3724.5008854686575</v>
      </c>
    </row>
    <row r="181" spans="1:8" x14ac:dyDescent="0.35">
      <c r="A181" s="5" t="s">
        <v>57</v>
      </c>
      <c r="B181" s="26"/>
      <c r="C181" s="26"/>
      <c r="D181" s="26">
        <v>3431.2050611381546</v>
      </c>
      <c r="E181" s="26">
        <v>2097.8087051229168</v>
      </c>
      <c r="F181" s="26"/>
      <c r="G181" s="26"/>
      <c r="H181" s="26">
        <v>2764.5068831305357</v>
      </c>
    </row>
    <row r="182" spans="1:8" x14ac:dyDescent="0.35">
      <c r="A182" s="5" t="s">
        <v>58</v>
      </c>
      <c r="B182" s="26"/>
      <c r="C182" s="26"/>
      <c r="D182" s="26">
        <v>4579.9643169375713</v>
      </c>
      <c r="E182" s="26">
        <v>4110.446591114729</v>
      </c>
      <c r="F182" s="26"/>
      <c r="G182" s="26"/>
      <c r="H182" s="26">
        <v>4345.2054540261506</v>
      </c>
    </row>
    <row r="183" spans="1:8" x14ac:dyDescent="0.35">
      <c r="A183" s="5" t="s">
        <v>60</v>
      </c>
      <c r="B183" s="26"/>
      <c r="C183" s="26"/>
      <c r="D183" s="26">
        <v>4383.9297719209326</v>
      </c>
      <c r="E183" s="26">
        <v>4259.4807393904484</v>
      </c>
      <c r="F183" s="26"/>
      <c r="G183" s="26"/>
      <c r="H183" s="26">
        <v>4321.7052556556901</v>
      </c>
    </row>
    <row r="184" spans="1:8" x14ac:dyDescent="0.35">
      <c r="A184" s="5" t="s">
        <v>48</v>
      </c>
      <c r="B184" s="26"/>
      <c r="C184" s="26"/>
      <c r="D184" s="26">
        <v>4455.7056827574315</v>
      </c>
      <c r="E184" s="26">
        <v>3541.1766646248875</v>
      </c>
      <c r="F184" s="26"/>
      <c r="G184" s="26"/>
      <c r="H184" s="26">
        <v>3998.4411736911597</v>
      </c>
    </row>
    <row r="185" spans="1:8" x14ac:dyDescent="0.35">
      <c r="A185" s="5" t="s">
        <v>49</v>
      </c>
      <c r="B185" s="26"/>
      <c r="C185" s="26"/>
      <c r="D185" s="26">
        <v>4625.4003170329388</v>
      </c>
      <c r="E185" s="26">
        <v>3317.6509930539164</v>
      </c>
      <c r="F185" s="26"/>
      <c r="G185" s="26"/>
      <c r="H185" s="26">
        <v>3971.5256550434278</v>
      </c>
    </row>
    <row r="186" spans="1:8" x14ac:dyDescent="0.35">
      <c r="A186" s="5" t="s">
        <v>50</v>
      </c>
      <c r="B186" s="26"/>
      <c r="C186" s="26"/>
      <c r="D186" s="26">
        <v>5205.2662731640348</v>
      </c>
      <c r="E186" s="26">
        <v>2956.4372341447838</v>
      </c>
      <c r="F186" s="26"/>
      <c r="G186" s="26"/>
      <c r="H186" s="26">
        <v>4080.8517536544095</v>
      </c>
    </row>
    <row r="187" spans="1:8" x14ac:dyDescent="0.35">
      <c r="A187" s="2" t="s">
        <v>41</v>
      </c>
      <c r="B187" s="26"/>
      <c r="C187" s="26"/>
      <c r="D187" s="26">
        <v>2566.1944555232981</v>
      </c>
      <c r="E187" s="26">
        <v>2423.1915991127648</v>
      </c>
      <c r="F187" s="26"/>
      <c r="G187" s="26"/>
      <c r="H187" s="26">
        <v>2494.6930273180315</v>
      </c>
    </row>
    <row r="188" spans="1:8" x14ac:dyDescent="0.35">
      <c r="A188" s="5" t="s">
        <v>51</v>
      </c>
      <c r="B188" s="26"/>
      <c r="C188" s="26"/>
      <c r="D188" s="26">
        <v>4839.6298480990781</v>
      </c>
      <c r="E188" s="26">
        <v>2658.8502372229982</v>
      </c>
      <c r="F188" s="26"/>
      <c r="G188" s="26"/>
      <c r="H188" s="26">
        <v>3749.2400426610384</v>
      </c>
    </row>
    <row r="189" spans="1:8" x14ac:dyDescent="0.35">
      <c r="A189" s="5" t="s">
        <v>52</v>
      </c>
      <c r="B189" s="26"/>
      <c r="C189" s="26"/>
      <c r="D189" s="26">
        <v>4061.9721549139595</v>
      </c>
      <c r="E189" s="26">
        <v>2442.3018314418</v>
      </c>
      <c r="F189" s="26"/>
      <c r="G189" s="26"/>
      <c r="H189" s="26">
        <v>3252.13699317788</v>
      </c>
    </row>
    <row r="190" spans="1:8" x14ac:dyDescent="0.35">
      <c r="A190" s="5" t="s">
        <v>53</v>
      </c>
      <c r="B190" s="26"/>
      <c r="C190" s="26"/>
      <c r="D190" s="26">
        <v>3763.8476558296211</v>
      </c>
      <c r="E190" s="26">
        <v>2457.9140042126355</v>
      </c>
      <c r="F190" s="26"/>
      <c r="G190" s="26"/>
      <c r="H190" s="26">
        <v>3110.8808300211285</v>
      </c>
    </row>
    <row r="191" spans="1:8" x14ac:dyDescent="0.35">
      <c r="A191" s="5" t="s">
        <v>54</v>
      </c>
      <c r="B191" s="26"/>
      <c r="C191" s="26"/>
      <c r="D191" s="26">
        <v>2932.1340925231457</v>
      </c>
      <c r="E191" s="26">
        <v>2578.4612553953261</v>
      </c>
      <c r="F191" s="26"/>
      <c r="G191" s="26"/>
      <c r="H191" s="26">
        <v>2755.2976739592359</v>
      </c>
    </row>
    <row r="192" spans="1:8" x14ac:dyDescent="0.35">
      <c r="A192" s="5" t="s">
        <v>55</v>
      </c>
      <c r="B192" s="26"/>
      <c r="C192" s="26"/>
      <c r="D192" s="26">
        <v>2524.2901999350302</v>
      </c>
      <c r="E192" s="26">
        <v>2847.227260314221</v>
      </c>
      <c r="F192" s="26"/>
      <c r="G192" s="26"/>
      <c r="H192" s="26">
        <v>2685.7587301246258</v>
      </c>
    </row>
    <row r="193" spans="1:8" x14ac:dyDescent="0.35">
      <c r="A193" s="5" t="s">
        <v>56</v>
      </c>
      <c r="B193" s="26"/>
      <c r="C193" s="26"/>
      <c r="D193" s="26">
        <v>2329.7469749953661</v>
      </c>
      <c r="E193" s="26">
        <v>2518.1966980146294</v>
      </c>
      <c r="F193" s="26"/>
      <c r="G193" s="26"/>
      <c r="H193" s="26">
        <v>2423.9718365049976</v>
      </c>
    </row>
    <row r="194" spans="1:8" x14ac:dyDescent="0.35">
      <c r="A194" s="5" t="s">
        <v>57</v>
      </c>
      <c r="B194" s="26"/>
      <c r="C194" s="26"/>
      <c r="D194" s="26">
        <v>2070.4345031842436</v>
      </c>
      <c r="E194" s="26">
        <v>2249.9575608936693</v>
      </c>
      <c r="F194" s="26"/>
      <c r="G194" s="26"/>
      <c r="H194" s="26">
        <v>2160.1960320389562</v>
      </c>
    </row>
    <row r="195" spans="1:8" x14ac:dyDescent="0.35">
      <c r="A195" s="5" t="s">
        <v>58</v>
      </c>
      <c r="B195" s="26"/>
      <c r="C195" s="26"/>
      <c r="D195" s="26">
        <v>1691.0628450274844</v>
      </c>
      <c r="E195" s="26">
        <v>2168.7356386732531</v>
      </c>
      <c r="F195" s="26"/>
      <c r="G195" s="26"/>
      <c r="H195" s="26">
        <v>1929.8992418503688</v>
      </c>
    </row>
    <row r="196" spans="1:8" x14ac:dyDescent="0.35">
      <c r="A196" s="5" t="s">
        <v>60</v>
      </c>
      <c r="B196" s="26"/>
      <c r="C196" s="26"/>
      <c r="D196" s="26">
        <v>1910.0586880195222</v>
      </c>
      <c r="E196" s="26">
        <v>2348.7151169957629</v>
      </c>
      <c r="F196" s="26"/>
      <c r="G196" s="26"/>
      <c r="H196" s="26">
        <v>2129.3869025076424</v>
      </c>
    </row>
    <row r="197" spans="1:8" x14ac:dyDescent="0.35">
      <c r="A197" s="5" t="s">
        <v>48</v>
      </c>
      <c r="B197" s="26"/>
      <c r="C197" s="26"/>
      <c r="D197" s="26">
        <v>1661.2838538185217</v>
      </c>
      <c r="E197" s="26">
        <v>2543.3426198102052</v>
      </c>
      <c r="F197" s="26"/>
      <c r="G197" s="26"/>
      <c r="H197" s="26">
        <v>2102.3132368143633</v>
      </c>
    </row>
    <row r="198" spans="1:8" x14ac:dyDescent="0.35">
      <c r="A198" s="5" t="s">
        <v>49</v>
      </c>
      <c r="B198" s="26"/>
      <c r="C198" s="26"/>
      <c r="D198" s="26">
        <v>1545.9818519844607</v>
      </c>
      <c r="E198" s="26">
        <v>2196.802603600524</v>
      </c>
      <c r="F198" s="26"/>
      <c r="G198" s="26"/>
      <c r="H198" s="26">
        <v>1871.3922277924923</v>
      </c>
    </row>
    <row r="199" spans="1:8" x14ac:dyDescent="0.35">
      <c r="A199" s="5" t="s">
        <v>50</v>
      </c>
      <c r="B199" s="26"/>
      <c r="C199" s="26"/>
      <c r="D199" s="26">
        <v>1463.8907979491491</v>
      </c>
      <c r="E199" s="26">
        <v>2067.7943627781524</v>
      </c>
      <c r="F199" s="26"/>
      <c r="G199" s="26"/>
      <c r="H199" s="26">
        <v>1765.8425803636508</v>
      </c>
    </row>
    <row r="200" spans="1:8" x14ac:dyDescent="0.35">
      <c r="A200" s="2" t="s">
        <v>42</v>
      </c>
      <c r="B200" s="26"/>
      <c r="C200" s="26"/>
      <c r="D200" s="26">
        <v>1184.9231172779441</v>
      </c>
      <c r="E200" s="26">
        <v>1789.4158368759615</v>
      </c>
      <c r="F200" s="26"/>
      <c r="G200" s="26"/>
      <c r="H200" s="26">
        <v>1487.1694770769529</v>
      </c>
    </row>
    <row r="201" spans="1:8" x14ac:dyDescent="0.35">
      <c r="A201" s="5" t="s">
        <v>51</v>
      </c>
      <c r="B201" s="26"/>
      <c r="C201" s="26"/>
      <c r="D201" s="26">
        <v>1444.407800941493</v>
      </c>
      <c r="E201" s="26">
        <v>1978.3370967741935</v>
      </c>
      <c r="F201" s="26"/>
      <c r="G201" s="26"/>
      <c r="H201" s="26">
        <v>1711.3724488578432</v>
      </c>
    </row>
    <row r="202" spans="1:8" x14ac:dyDescent="0.35">
      <c r="A202" s="5" t="s">
        <v>52</v>
      </c>
      <c r="B202" s="26"/>
      <c r="C202" s="26"/>
      <c r="D202" s="26">
        <v>1255.7734814853923</v>
      </c>
      <c r="E202" s="26">
        <v>1883.5110240427427</v>
      </c>
      <c r="F202" s="26"/>
      <c r="G202" s="26"/>
      <c r="H202" s="26">
        <v>1569.6422527640675</v>
      </c>
    </row>
    <row r="203" spans="1:8" x14ac:dyDescent="0.35">
      <c r="A203" s="5" t="s">
        <v>53</v>
      </c>
      <c r="B203" s="26"/>
      <c r="C203" s="26"/>
      <c r="D203" s="26">
        <v>1229.7070451728061</v>
      </c>
      <c r="E203" s="26">
        <v>1858.0737747440273</v>
      </c>
      <c r="F203" s="26"/>
      <c r="G203" s="26"/>
      <c r="H203" s="26">
        <v>1543.8904099584167</v>
      </c>
    </row>
    <row r="204" spans="1:8" x14ac:dyDescent="0.35">
      <c r="A204" s="5" t="s">
        <v>54</v>
      </c>
      <c r="B204" s="26"/>
      <c r="C204" s="26"/>
      <c r="D204" s="26">
        <v>1264.3156482214015</v>
      </c>
      <c r="E204" s="26">
        <v>1732.7567406746089</v>
      </c>
      <c r="F204" s="26"/>
      <c r="G204" s="26"/>
      <c r="H204" s="26">
        <v>1498.5361944480051</v>
      </c>
    </row>
    <row r="205" spans="1:8" x14ac:dyDescent="0.35">
      <c r="A205" s="5" t="s">
        <v>55</v>
      </c>
      <c r="B205" s="26"/>
      <c r="C205" s="26"/>
      <c r="D205" s="26">
        <v>1213.1283817124104</v>
      </c>
      <c r="E205" s="26">
        <v>1655.2025362563238</v>
      </c>
      <c r="F205" s="26"/>
      <c r="G205" s="26"/>
      <c r="H205" s="26">
        <v>1434.165458984367</v>
      </c>
    </row>
    <row r="206" spans="1:8" x14ac:dyDescent="0.35">
      <c r="A206" s="5" t="s">
        <v>56</v>
      </c>
      <c r="B206" s="26"/>
      <c r="C206" s="26"/>
      <c r="D206" s="26">
        <v>1141.0823921349663</v>
      </c>
      <c r="E206" s="26">
        <v>1609.4335250174665</v>
      </c>
      <c r="F206" s="26"/>
      <c r="G206" s="26"/>
      <c r="H206" s="26">
        <v>1375.2579585762164</v>
      </c>
    </row>
    <row r="207" spans="1:8" x14ac:dyDescent="0.35">
      <c r="A207" s="5" t="s">
        <v>57</v>
      </c>
      <c r="B207" s="26"/>
      <c r="C207" s="26"/>
      <c r="D207" s="26">
        <v>1219.5804966827484</v>
      </c>
      <c r="E207" s="26">
        <v>1905.9157710083596</v>
      </c>
      <c r="F207" s="26"/>
      <c r="G207" s="26"/>
      <c r="H207" s="26">
        <v>1562.7481338455541</v>
      </c>
    </row>
    <row r="208" spans="1:8" x14ac:dyDescent="0.35">
      <c r="A208" s="5" t="s">
        <v>58</v>
      </c>
      <c r="B208" s="26"/>
      <c r="C208" s="26"/>
      <c r="D208" s="26">
        <v>1340.1881081451456</v>
      </c>
      <c r="E208" s="26">
        <v>1829.650434982562</v>
      </c>
      <c r="F208" s="26"/>
      <c r="G208" s="26"/>
      <c r="H208" s="26">
        <v>1584.9192715638537</v>
      </c>
    </row>
    <row r="209" spans="1:8" x14ac:dyDescent="0.35">
      <c r="A209" s="5" t="s">
        <v>60</v>
      </c>
      <c r="B209" s="26"/>
      <c r="C209" s="26"/>
      <c r="D209" s="26">
        <v>1018.3593776520509</v>
      </c>
      <c r="E209" s="26">
        <v>1730.6145762711863</v>
      </c>
      <c r="F209" s="26"/>
      <c r="G209" s="26"/>
      <c r="H209" s="26">
        <v>1374.4869769616184</v>
      </c>
    </row>
    <row r="210" spans="1:8" x14ac:dyDescent="0.35">
      <c r="A210" s="5" t="s">
        <v>48</v>
      </c>
      <c r="B210" s="26"/>
      <c r="C210" s="26"/>
      <c r="D210" s="26">
        <v>932.07164761120487</v>
      </c>
      <c r="E210" s="26">
        <v>1600.1636811178989</v>
      </c>
      <c r="F210" s="26"/>
      <c r="G210" s="26"/>
      <c r="H210" s="26">
        <v>1266.117664364552</v>
      </c>
    </row>
    <row r="211" spans="1:8" x14ac:dyDescent="0.35">
      <c r="A211" s="5" t="s">
        <v>49</v>
      </c>
      <c r="B211" s="26"/>
      <c r="C211" s="26"/>
      <c r="D211" s="26">
        <v>1138.4699399351241</v>
      </c>
      <c r="E211" s="26">
        <v>1811.4113093771116</v>
      </c>
      <c r="F211" s="26"/>
      <c r="G211" s="26"/>
      <c r="H211" s="26">
        <v>1474.940624656118</v>
      </c>
    </row>
    <row r="212" spans="1:8" x14ac:dyDescent="0.35">
      <c r="A212" s="5" t="s">
        <v>50</v>
      </c>
      <c r="B212" s="26"/>
      <c r="C212" s="26"/>
      <c r="D212" s="26">
        <v>1021.9930876405878</v>
      </c>
      <c r="E212" s="26">
        <v>1877.9195722450575</v>
      </c>
      <c r="F212" s="26"/>
      <c r="G212" s="26"/>
      <c r="H212" s="26">
        <v>1449.9563299428225</v>
      </c>
    </row>
    <row r="213" spans="1:8" x14ac:dyDescent="0.35">
      <c r="A213" s="2" t="s">
        <v>43</v>
      </c>
      <c r="B213" s="26"/>
      <c r="C213" s="26"/>
      <c r="D213" s="26">
        <v>788.23279179141582</v>
      </c>
      <c r="E213" s="26">
        <v>1212.336206935908</v>
      </c>
      <c r="F213" s="26"/>
      <c r="G213" s="26"/>
      <c r="H213" s="26">
        <v>1000.2844993636618</v>
      </c>
    </row>
    <row r="214" spans="1:8" x14ac:dyDescent="0.35">
      <c r="A214" s="5" t="s">
        <v>51</v>
      </c>
      <c r="B214" s="26"/>
      <c r="C214" s="26"/>
      <c r="D214" s="26">
        <v>1094.0054447506336</v>
      </c>
      <c r="E214" s="26">
        <v>1801.5159118464803</v>
      </c>
      <c r="F214" s="26"/>
      <c r="G214" s="26"/>
      <c r="H214" s="26">
        <v>1447.760678298557</v>
      </c>
    </row>
    <row r="215" spans="1:8" x14ac:dyDescent="0.35">
      <c r="A215" s="5" t="s">
        <v>52</v>
      </c>
      <c r="B215" s="26"/>
      <c r="C215" s="26"/>
      <c r="D215" s="26">
        <v>953.44653036718989</v>
      </c>
      <c r="E215" s="26">
        <v>1274.9911191048234</v>
      </c>
      <c r="F215" s="26"/>
      <c r="G215" s="26"/>
      <c r="H215" s="26">
        <v>1114.2188247360066</v>
      </c>
    </row>
    <row r="216" spans="1:8" x14ac:dyDescent="0.35">
      <c r="A216" s="5" t="s">
        <v>53</v>
      </c>
      <c r="B216" s="26"/>
      <c r="C216" s="26"/>
      <c r="D216" s="26">
        <v>864.80647261502736</v>
      </c>
      <c r="E216" s="26">
        <v>1125.616403818975</v>
      </c>
      <c r="F216" s="26"/>
      <c r="G216" s="26"/>
      <c r="H216" s="26">
        <v>995.21143821700116</v>
      </c>
    </row>
    <row r="217" spans="1:8" x14ac:dyDescent="0.35">
      <c r="A217" s="5" t="s">
        <v>54</v>
      </c>
      <c r="B217" s="26"/>
      <c r="C217" s="26"/>
      <c r="D217" s="26">
        <v>813.91972399169492</v>
      </c>
      <c r="E217" s="26">
        <v>1216.9929999999999</v>
      </c>
      <c r="F217" s="26"/>
      <c r="G217" s="26"/>
      <c r="H217" s="26">
        <v>1015.4563619958474</v>
      </c>
    </row>
    <row r="218" spans="1:8" x14ac:dyDescent="0.35">
      <c r="A218" s="5" t="s">
        <v>55</v>
      </c>
      <c r="B218" s="26"/>
      <c r="C218" s="26"/>
      <c r="D218" s="26">
        <v>729.2526429097403</v>
      </c>
      <c r="E218" s="26">
        <v>1135.1584829851929</v>
      </c>
      <c r="F218" s="26"/>
      <c r="G218" s="26"/>
      <c r="H218" s="26">
        <v>932.20556294746666</v>
      </c>
    </row>
    <row r="219" spans="1:8" x14ac:dyDescent="0.35">
      <c r="A219" s="5" t="s">
        <v>56</v>
      </c>
      <c r="B219" s="26"/>
      <c r="C219" s="26"/>
      <c r="D219" s="26">
        <v>704.72884063047013</v>
      </c>
      <c r="E219" s="26">
        <v>1068.6288208641724</v>
      </c>
      <c r="F219" s="26"/>
      <c r="G219" s="26"/>
      <c r="H219" s="26">
        <v>886.67883074732129</v>
      </c>
    </row>
    <row r="220" spans="1:8" x14ac:dyDescent="0.35">
      <c r="A220" s="5" t="s">
        <v>57</v>
      </c>
      <c r="B220" s="26"/>
      <c r="C220" s="26"/>
      <c r="D220" s="26">
        <v>684.09483870967733</v>
      </c>
      <c r="E220" s="26">
        <v>1063.2483870967742</v>
      </c>
      <c r="F220" s="26"/>
      <c r="G220" s="26"/>
      <c r="H220" s="26">
        <v>873.67161290322576</v>
      </c>
    </row>
    <row r="221" spans="1:8" x14ac:dyDescent="0.35">
      <c r="A221" s="5" t="s">
        <v>58</v>
      </c>
      <c r="B221" s="26"/>
      <c r="C221" s="26"/>
      <c r="D221" s="26">
        <v>748.22957124296238</v>
      </c>
      <c r="E221" s="26">
        <v>1055.1967431788653</v>
      </c>
      <c r="F221" s="26"/>
      <c r="G221" s="26"/>
      <c r="H221" s="26">
        <v>901.71315721091378</v>
      </c>
    </row>
    <row r="222" spans="1:8" x14ac:dyDescent="0.35">
      <c r="A222" s="5" t="s">
        <v>60</v>
      </c>
      <c r="B222" s="26"/>
      <c r="C222" s="26"/>
      <c r="D222" s="26">
        <v>901.54958976217085</v>
      </c>
      <c r="E222" s="26">
        <v>1290.3711196936783</v>
      </c>
      <c r="F222" s="26"/>
      <c r="G222" s="26"/>
      <c r="H222" s="26">
        <v>1095.9603547279246</v>
      </c>
    </row>
    <row r="223" spans="1:8" x14ac:dyDescent="0.35">
      <c r="A223" s="5" t="s">
        <v>48</v>
      </c>
      <c r="B223" s="26"/>
      <c r="C223" s="26"/>
      <c r="D223" s="26">
        <v>771.43180235178431</v>
      </c>
      <c r="E223" s="26">
        <v>1335.1194001720817</v>
      </c>
      <c r="F223" s="26"/>
      <c r="G223" s="26"/>
      <c r="H223" s="26">
        <v>1053.2756012619329</v>
      </c>
    </row>
    <row r="224" spans="1:8" x14ac:dyDescent="0.35">
      <c r="A224" s="5" t="s">
        <v>49</v>
      </c>
      <c r="B224" s="26"/>
      <c r="C224" s="26"/>
      <c r="D224" s="26">
        <v>633.96266666666668</v>
      </c>
      <c r="E224" s="26">
        <v>1164.3886666666667</v>
      </c>
      <c r="F224" s="26"/>
      <c r="G224" s="26"/>
      <c r="H224" s="26">
        <v>899.17566666666676</v>
      </c>
    </row>
    <row r="225" spans="1:8" x14ac:dyDescent="0.35">
      <c r="A225" s="5" t="s">
        <v>50</v>
      </c>
      <c r="B225" s="26"/>
      <c r="C225" s="26"/>
      <c r="D225" s="26">
        <v>559.36537749897002</v>
      </c>
      <c r="E225" s="26">
        <v>1016.8064278031845</v>
      </c>
      <c r="F225" s="26"/>
      <c r="G225" s="26"/>
      <c r="H225" s="26">
        <v>788.08590265107728</v>
      </c>
    </row>
    <row r="226" spans="1:8" x14ac:dyDescent="0.35">
      <c r="A226" s="2" t="s">
        <v>44</v>
      </c>
      <c r="B226" s="26"/>
      <c r="C226" s="26">
        <v>1091.001140879514</v>
      </c>
      <c r="D226" s="26">
        <v>452.35735363796681</v>
      </c>
      <c r="E226" s="26">
        <v>813.22620764060355</v>
      </c>
      <c r="F226" s="26"/>
      <c r="G226" s="26"/>
      <c r="H226" s="26">
        <v>724.433652687331</v>
      </c>
    </row>
    <row r="227" spans="1:8" x14ac:dyDescent="0.35">
      <c r="A227" s="5" t="s">
        <v>51</v>
      </c>
      <c r="B227" s="26"/>
      <c r="C227" s="26"/>
      <c r="D227" s="26">
        <v>561.56677419354833</v>
      </c>
      <c r="E227" s="26">
        <v>973.70322580645154</v>
      </c>
      <c r="F227" s="26"/>
      <c r="G227" s="26"/>
      <c r="H227" s="26">
        <v>767.63499999999999</v>
      </c>
    </row>
    <row r="228" spans="1:8" x14ac:dyDescent="0.35">
      <c r="A228" s="5" t="s">
        <v>52</v>
      </c>
      <c r="B228" s="26"/>
      <c r="C228" s="26"/>
      <c r="D228" s="26">
        <v>538.83499999999992</v>
      </c>
      <c r="E228" s="26">
        <v>955.64723665303939</v>
      </c>
      <c r="F228" s="26"/>
      <c r="G228" s="26"/>
      <c r="H228" s="26">
        <v>747.24111832651965</v>
      </c>
    </row>
    <row r="229" spans="1:8" x14ac:dyDescent="0.35">
      <c r="A229" s="5" t="s">
        <v>53</v>
      </c>
      <c r="B229" s="26"/>
      <c r="C229" s="26"/>
      <c r="D229" s="26">
        <v>491.7316866228569</v>
      </c>
      <c r="E229" s="26">
        <v>888.44185776529127</v>
      </c>
      <c r="F229" s="26"/>
      <c r="G229" s="26"/>
      <c r="H229" s="26">
        <v>690.08677219407411</v>
      </c>
    </row>
    <row r="230" spans="1:8" x14ac:dyDescent="0.35">
      <c r="A230" s="5" t="s">
        <v>54</v>
      </c>
      <c r="B230" s="26"/>
      <c r="C230" s="26"/>
      <c r="D230" s="26">
        <v>577.31634786999314</v>
      </c>
      <c r="E230" s="26">
        <v>985.06593890589659</v>
      </c>
      <c r="F230" s="26"/>
      <c r="G230" s="26"/>
      <c r="H230" s="26">
        <v>781.19114338794486</v>
      </c>
    </row>
    <row r="231" spans="1:8" x14ac:dyDescent="0.35">
      <c r="A231" s="5" t="s">
        <v>55</v>
      </c>
      <c r="B231" s="26"/>
      <c r="C231" s="26"/>
      <c r="D231" s="26">
        <v>534.82294867373548</v>
      </c>
      <c r="E231" s="26">
        <v>905.08072385711353</v>
      </c>
      <c r="F231" s="26"/>
      <c r="G231" s="26"/>
      <c r="H231" s="26">
        <v>719.9518362654245</v>
      </c>
    </row>
    <row r="232" spans="1:8" x14ac:dyDescent="0.35">
      <c r="A232" s="5" t="s">
        <v>56</v>
      </c>
      <c r="B232" s="26"/>
      <c r="C232" s="26"/>
      <c r="D232" s="26">
        <v>503.97437684739936</v>
      </c>
      <c r="E232" s="26">
        <v>849.34518105724192</v>
      </c>
      <c r="F232" s="26"/>
      <c r="G232" s="26"/>
      <c r="H232" s="26">
        <v>676.65977895232061</v>
      </c>
    </row>
    <row r="233" spans="1:8" x14ac:dyDescent="0.35">
      <c r="A233" s="5" t="s">
        <v>57</v>
      </c>
      <c r="B233" s="26"/>
      <c r="C233" s="26">
        <v>833.8467277284517</v>
      </c>
      <c r="D233" s="26">
        <v>489.74946453915959</v>
      </c>
      <c r="E233" s="26">
        <v>820.87244891805915</v>
      </c>
      <c r="F233" s="26"/>
      <c r="G233" s="26"/>
      <c r="H233" s="26">
        <v>714.82288039522348</v>
      </c>
    </row>
    <row r="234" spans="1:8" x14ac:dyDescent="0.35">
      <c r="A234" s="5" t="s">
        <v>58</v>
      </c>
      <c r="B234" s="26"/>
      <c r="C234" s="26">
        <v>1042.932153265732</v>
      </c>
      <c r="D234" s="26">
        <v>528.40778000015553</v>
      </c>
      <c r="E234" s="26">
        <v>756.01439319594374</v>
      </c>
      <c r="F234" s="26"/>
      <c r="G234" s="26"/>
      <c r="H234" s="26">
        <v>775.78477548727699</v>
      </c>
    </row>
    <row r="235" spans="1:8" x14ac:dyDescent="0.35">
      <c r="A235" s="5" t="s">
        <v>60</v>
      </c>
      <c r="B235" s="26"/>
      <c r="C235" s="26">
        <v>1058.7943401342552</v>
      </c>
      <c r="D235" s="26">
        <v>375.20397976219738</v>
      </c>
      <c r="E235" s="26">
        <v>684.23767399194344</v>
      </c>
      <c r="F235" s="26"/>
      <c r="G235" s="26"/>
      <c r="H235" s="26">
        <v>706.07866462946538</v>
      </c>
    </row>
    <row r="236" spans="1:8" x14ac:dyDescent="0.35">
      <c r="A236" s="5" t="s">
        <v>48</v>
      </c>
      <c r="B236" s="26"/>
      <c r="C236" s="26">
        <v>1206.7031814344678</v>
      </c>
      <c r="D236" s="26">
        <v>293.11799999999999</v>
      </c>
      <c r="E236" s="26">
        <v>671.9432861532722</v>
      </c>
      <c r="F236" s="26"/>
      <c r="G236" s="26"/>
      <c r="H236" s="26">
        <v>723.9214891959133</v>
      </c>
    </row>
    <row r="237" spans="1:8" x14ac:dyDescent="0.35">
      <c r="A237" s="5" t="s">
        <v>49</v>
      </c>
      <c r="B237" s="26"/>
      <c r="C237" s="26">
        <v>1192.7983146067415</v>
      </c>
      <c r="D237" s="26">
        <v>265.31357444241905</v>
      </c>
      <c r="E237" s="26">
        <v>678.11793027522936</v>
      </c>
      <c r="F237" s="26"/>
      <c r="G237" s="26"/>
      <c r="H237" s="26">
        <v>712.07660644146335</v>
      </c>
    </row>
    <row r="238" spans="1:8" x14ac:dyDescent="0.35">
      <c r="A238" s="5" t="s">
        <v>50</v>
      </c>
      <c r="B238" s="26"/>
      <c r="C238" s="26">
        <v>1210.9321281074356</v>
      </c>
      <c r="D238" s="26">
        <v>268.24831070413643</v>
      </c>
      <c r="E238" s="26">
        <v>590.24459510776126</v>
      </c>
      <c r="F238" s="26"/>
      <c r="G238" s="26"/>
      <c r="H238" s="26">
        <v>689.80834463977772</v>
      </c>
    </row>
    <row r="239" spans="1:8" x14ac:dyDescent="0.35">
      <c r="A239" s="2" t="s">
        <v>45</v>
      </c>
      <c r="B239" s="26">
        <v>507.52954011678088</v>
      </c>
      <c r="C239" s="26">
        <v>1063.5712559067765</v>
      </c>
      <c r="D239" s="26">
        <v>203.77022454253446</v>
      </c>
      <c r="E239" s="26">
        <v>441.39720107811172</v>
      </c>
      <c r="F239" s="26">
        <v>243.50944337173621</v>
      </c>
      <c r="G239" s="26"/>
      <c r="H239" s="26">
        <v>500.86297621684844</v>
      </c>
    </row>
    <row r="240" spans="1:8" x14ac:dyDescent="0.35">
      <c r="A240" s="5" t="s">
        <v>51</v>
      </c>
      <c r="B240" s="26"/>
      <c r="C240" s="26">
        <v>1241.2476748970821</v>
      </c>
      <c r="D240" s="26">
        <v>246.70536375321697</v>
      </c>
      <c r="E240" s="26">
        <v>594.84280727812859</v>
      </c>
      <c r="F240" s="26">
        <v>400.6603147765598</v>
      </c>
      <c r="G240" s="26"/>
      <c r="H240" s="26">
        <v>620.86404017624693</v>
      </c>
    </row>
    <row r="241" spans="1:8" x14ac:dyDescent="0.35">
      <c r="A241" s="5" t="s">
        <v>52</v>
      </c>
      <c r="B241" s="26"/>
      <c r="C241" s="26">
        <v>1202.4157962371539</v>
      </c>
      <c r="D241" s="26">
        <v>260.60437800320341</v>
      </c>
      <c r="E241" s="26">
        <v>592.01834708818114</v>
      </c>
      <c r="F241" s="26">
        <v>318.25131674219233</v>
      </c>
      <c r="G241" s="26"/>
      <c r="H241" s="26">
        <v>593.32245951768277</v>
      </c>
    </row>
    <row r="242" spans="1:8" x14ac:dyDescent="0.35">
      <c r="A242" s="5" t="s">
        <v>53</v>
      </c>
      <c r="B242" s="26"/>
      <c r="C242" s="26">
        <v>1218.8847783201338</v>
      </c>
      <c r="D242" s="26">
        <v>249.80931875426683</v>
      </c>
      <c r="E242" s="26">
        <v>530.02633059341701</v>
      </c>
      <c r="F242" s="26">
        <v>253.38096161013792</v>
      </c>
      <c r="G242" s="26"/>
      <c r="H242" s="26">
        <v>563.0253473194889</v>
      </c>
    </row>
    <row r="243" spans="1:8" x14ac:dyDescent="0.35">
      <c r="A243" s="5" t="s">
        <v>54</v>
      </c>
      <c r="B243" s="26">
        <v>1175.4693626373626</v>
      </c>
      <c r="C243" s="26">
        <v>1229.6005802317038</v>
      </c>
      <c r="D243" s="26">
        <v>204.04689728769512</v>
      </c>
      <c r="E243" s="26">
        <v>567.00981796024871</v>
      </c>
      <c r="F243" s="26">
        <v>245.29224184055644</v>
      </c>
      <c r="G243" s="26"/>
      <c r="H243" s="26">
        <v>684.28377999151337</v>
      </c>
    </row>
    <row r="244" spans="1:8" x14ac:dyDescent="0.35">
      <c r="A244" s="5" t="s">
        <v>55</v>
      </c>
      <c r="B244" s="26">
        <v>814.41761694828415</v>
      </c>
      <c r="C244" s="26">
        <v>1142.8094600136703</v>
      </c>
      <c r="D244" s="26">
        <v>181.83792810797107</v>
      </c>
      <c r="E244" s="26">
        <v>466.5552102637206</v>
      </c>
      <c r="F244" s="26">
        <v>232.85838709677418</v>
      </c>
      <c r="G244" s="26"/>
      <c r="H244" s="26">
        <v>567.69572048608404</v>
      </c>
    </row>
    <row r="245" spans="1:8" x14ac:dyDescent="0.35">
      <c r="A245" s="5" t="s">
        <v>56</v>
      </c>
      <c r="B245" s="26">
        <v>666.9714240771707</v>
      </c>
      <c r="C245" s="26">
        <v>1146.9464715551994</v>
      </c>
      <c r="D245" s="26">
        <v>195.13968046719924</v>
      </c>
      <c r="E245" s="26">
        <v>448.15740845070422</v>
      </c>
      <c r="F245" s="26">
        <v>237.26672709335784</v>
      </c>
      <c r="G245" s="26"/>
      <c r="H245" s="26">
        <v>538.89634232872629</v>
      </c>
    </row>
    <row r="246" spans="1:8" x14ac:dyDescent="0.35">
      <c r="A246" s="5" t="s">
        <v>57</v>
      </c>
      <c r="B246" s="26">
        <v>487.67267695743789</v>
      </c>
      <c r="C246" s="26">
        <v>1090.9980920511757</v>
      </c>
      <c r="D246" s="26">
        <v>187.04304917226713</v>
      </c>
      <c r="E246" s="26">
        <v>435.89124202407766</v>
      </c>
      <c r="F246" s="26">
        <v>224.30137678350442</v>
      </c>
      <c r="G246" s="26"/>
      <c r="H246" s="26">
        <v>485.18128739769253</v>
      </c>
    </row>
    <row r="247" spans="1:8" x14ac:dyDescent="0.35">
      <c r="A247" s="5" t="s">
        <v>58</v>
      </c>
      <c r="B247" s="26">
        <v>386.35921994432869</v>
      </c>
      <c r="C247" s="26">
        <v>1043.0371418963475</v>
      </c>
      <c r="D247" s="26">
        <v>179.92881500959285</v>
      </c>
      <c r="E247" s="26">
        <v>337.87121092545203</v>
      </c>
      <c r="F247" s="26">
        <v>192.48684013154099</v>
      </c>
      <c r="G247" s="26"/>
      <c r="H247" s="26">
        <v>427.93664558145247</v>
      </c>
    </row>
    <row r="248" spans="1:8" x14ac:dyDescent="0.35">
      <c r="A248" s="5" t="s">
        <v>60</v>
      </c>
      <c r="B248" s="26">
        <v>349.10728224654929</v>
      </c>
      <c r="C248" s="26">
        <v>1154.4199172083981</v>
      </c>
      <c r="D248" s="26">
        <v>177.1598939351635</v>
      </c>
      <c r="E248" s="26">
        <v>334.84733044801675</v>
      </c>
      <c r="F248" s="26">
        <v>196.99985639230474</v>
      </c>
      <c r="G248" s="26"/>
      <c r="H248" s="26">
        <v>442.50685604608645</v>
      </c>
    </row>
    <row r="249" spans="1:8" x14ac:dyDescent="0.35">
      <c r="A249" s="5" t="s">
        <v>48</v>
      </c>
      <c r="B249" s="26">
        <v>305.01132885906037</v>
      </c>
      <c r="C249" s="26">
        <v>1090.5252080536914</v>
      </c>
      <c r="D249" s="26">
        <v>173.49616107382548</v>
      </c>
      <c r="E249" s="26">
        <v>324.60306040268455</v>
      </c>
      <c r="F249" s="26">
        <v>187.62447358011124</v>
      </c>
      <c r="G249" s="26"/>
      <c r="H249" s="26">
        <v>416.25204639387459</v>
      </c>
    </row>
    <row r="250" spans="1:8" x14ac:dyDescent="0.35">
      <c r="A250" s="5" t="s">
        <v>49</v>
      </c>
      <c r="B250" s="26">
        <v>277.77658574446986</v>
      </c>
      <c r="C250" s="26">
        <v>922.41992290463406</v>
      </c>
      <c r="D250" s="26">
        <v>185.70098440347721</v>
      </c>
      <c r="E250" s="26">
        <v>351.83322512350037</v>
      </c>
      <c r="F250" s="26">
        <v>189.48138104205901</v>
      </c>
      <c r="G250" s="26"/>
      <c r="H250" s="26">
        <v>385.44241984362804</v>
      </c>
    </row>
    <row r="251" spans="1:8" x14ac:dyDescent="0.35">
      <c r="A251" s="5" t="s">
        <v>50</v>
      </c>
      <c r="B251" s="26">
        <v>104.98036363636365</v>
      </c>
      <c r="C251" s="26">
        <v>279.55002751212697</v>
      </c>
      <c r="D251" s="26"/>
      <c r="E251" s="26">
        <v>313.11042237920884</v>
      </c>
      <c r="F251" s="26"/>
      <c r="G251" s="26"/>
      <c r="H251" s="26">
        <v>232.54693784256651</v>
      </c>
    </row>
    <row r="252" spans="1:8" x14ac:dyDescent="0.35">
      <c r="A252" s="2" t="s">
        <v>46</v>
      </c>
      <c r="B252" s="26">
        <v>389.24131489977611</v>
      </c>
      <c r="C252" s="26">
        <v>1321.7096882355165</v>
      </c>
      <c r="D252" s="26">
        <v>570.70392560649032</v>
      </c>
      <c r="E252" s="26">
        <v>219.06318845440435</v>
      </c>
      <c r="F252" s="26">
        <v>187.04061888785051</v>
      </c>
      <c r="G252" s="26"/>
      <c r="H252" s="26">
        <v>537.55174721680771</v>
      </c>
    </row>
    <row r="253" spans="1:8" x14ac:dyDescent="0.35">
      <c r="A253" s="5" t="s">
        <v>51</v>
      </c>
      <c r="B253" s="26">
        <v>543.87091825753828</v>
      </c>
      <c r="C253" s="26">
        <v>1001.623345889992</v>
      </c>
      <c r="D253" s="26">
        <v>862.37503604227334</v>
      </c>
      <c r="E253" s="26">
        <v>304.82294979958664</v>
      </c>
      <c r="F253" s="26">
        <v>205.61877466659124</v>
      </c>
      <c r="G253" s="26"/>
      <c r="H253" s="26">
        <v>583.66220493119636</v>
      </c>
    </row>
    <row r="254" spans="1:8" x14ac:dyDescent="0.35">
      <c r="A254" s="5" t="s">
        <v>52</v>
      </c>
      <c r="B254" s="26">
        <v>525.99586568111363</v>
      </c>
      <c r="C254" s="26">
        <v>962.2988823501247</v>
      </c>
      <c r="D254" s="26">
        <v>754.47610781984611</v>
      </c>
      <c r="E254" s="26">
        <v>263.01657747028423</v>
      </c>
      <c r="F254" s="26">
        <v>169.3137851508595</v>
      </c>
      <c r="G254" s="26"/>
      <c r="H254" s="26">
        <v>535.02024369444564</v>
      </c>
    </row>
    <row r="255" spans="1:8" x14ac:dyDescent="0.35">
      <c r="A255" s="5" t="s">
        <v>53</v>
      </c>
      <c r="B255" s="26">
        <v>440.65462007187637</v>
      </c>
      <c r="C255" s="26">
        <v>1429.8748349983189</v>
      </c>
      <c r="D255" s="26">
        <v>697.90538620560039</v>
      </c>
      <c r="E255" s="26">
        <v>260.29161290322583</v>
      </c>
      <c r="F255" s="26">
        <v>149.02846194777939</v>
      </c>
      <c r="G255" s="26"/>
      <c r="H255" s="26">
        <v>595.55098322536014</v>
      </c>
    </row>
    <row r="256" spans="1:8" x14ac:dyDescent="0.35">
      <c r="A256" s="5" t="s">
        <v>54</v>
      </c>
      <c r="B256" s="26">
        <v>358.32715736622902</v>
      </c>
      <c r="C256" s="26">
        <v>1818.5253333333335</v>
      </c>
      <c r="D256" s="26">
        <v>659.88533333333339</v>
      </c>
      <c r="E256" s="26">
        <v>256.24</v>
      </c>
      <c r="F256" s="26">
        <v>141.99733333333333</v>
      </c>
      <c r="G256" s="26"/>
      <c r="H256" s="26">
        <v>646.99503147324583</v>
      </c>
    </row>
    <row r="257" spans="1:8" x14ac:dyDescent="0.35">
      <c r="A257" s="5" t="s">
        <v>55</v>
      </c>
      <c r="B257" s="26">
        <v>507.9681271600208</v>
      </c>
      <c r="C257" s="26">
        <v>1775.1361290322582</v>
      </c>
      <c r="D257" s="26">
        <v>548.27354838709675</v>
      </c>
      <c r="E257" s="26">
        <v>230.57387096774193</v>
      </c>
      <c r="F257" s="26">
        <v>132.11536001756565</v>
      </c>
      <c r="G257" s="26"/>
      <c r="H257" s="26">
        <v>638.81340711293683</v>
      </c>
    </row>
    <row r="258" spans="1:8" x14ac:dyDescent="0.35">
      <c r="A258" s="5" t="s">
        <v>56</v>
      </c>
      <c r="B258" s="26">
        <v>326.44023089641405</v>
      </c>
      <c r="C258" s="26">
        <v>1610.3499658682094</v>
      </c>
      <c r="D258" s="26">
        <v>661.01815991438627</v>
      </c>
      <c r="E258" s="26">
        <v>202.66408123228416</v>
      </c>
      <c r="F258" s="26">
        <v>122.36611769057126</v>
      </c>
      <c r="G258" s="26"/>
      <c r="H258" s="26">
        <v>584.56771112037302</v>
      </c>
    </row>
    <row r="259" spans="1:8" x14ac:dyDescent="0.35">
      <c r="A259" s="5" t="s">
        <v>57</v>
      </c>
      <c r="B259" s="26">
        <v>207.95089368343591</v>
      </c>
      <c r="C259" s="26">
        <v>1412.4083870967743</v>
      </c>
      <c r="D259" s="26">
        <v>617.98225806451615</v>
      </c>
      <c r="E259" s="26">
        <v>217.66346989753376</v>
      </c>
      <c r="F259" s="26">
        <v>127.8555343936428</v>
      </c>
      <c r="G259" s="26"/>
      <c r="H259" s="26">
        <v>516.77210862718061</v>
      </c>
    </row>
    <row r="260" spans="1:8" x14ac:dyDescent="0.35">
      <c r="A260" s="5" t="s">
        <v>58</v>
      </c>
      <c r="B260" s="26">
        <v>466.22708844145274</v>
      </c>
      <c r="C260" s="26">
        <v>1196.1004644797345</v>
      </c>
      <c r="D260" s="26">
        <v>507.87960790492195</v>
      </c>
      <c r="E260" s="26">
        <v>185.94369697946976</v>
      </c>
      <c r="F260" s="26">
        <v>310.77410890410209</v>
      </c>
      <c r="G260" s="26"/>
      <c r="H260" s="26">
        <v>533.38499334193614</v>
      </c>
    </row>
    <row r="261" spans="1:8" x14ac:dyDescent="0.35">
      <c r="A261" s="5" t="s">
        <v>60</v>
      </c>
      <c r="B261" s="26">
        <v>403.27664183227267</v>
      </c>
      <c r="C261" s="26">
        <v>1049.345160840332</v>
      </c>
      <c r="D261" s="26">
        <v>416.87456763276612</v>
      </c>
      <c r="E261" s="26">
        <v>176.90764491474505</v>
      </c>
      <c r="F261" s="26">
        <v>247.53446060987571</v>
      </c>
      <c r="G261" s="26"/>
      <c r="H261" s="26">
        <v>458.78769516599834</v>
      </c>
    </row>
    <row r="262" spans="1:8" x14ac:dyDescent="0.35">
      <c r="A262" s="5" t="s">
        <v>48</v>
      </c>
      <c r="B262" s="26">
        <v>266.61021567544913</v>
      </c>
      <c r="C262" s="26">
        <v>1137.9869837508325</v>
      </c>
      <c r="D262" s="26">
        <v>386.27317515219687</v>
      </c>
      <c r="E262" s="26">
        <v>182.2800935312587</v>
      </c>
      <c r="F262" s="26">
        <v>204.96602733812054</v>
      </c>
      <c r="G262" s="26"/>
      <c r="H262" s="26">
        <v>435.62329908957156</v>
      </c>
    </row>
    <row r="263" spans="1:8" x14ac:dyDescent="0.35">
      <c r="A263" s="5" t="s">
        <v>49</v>
      </c>
      <c r="B263" s="26">
        <v>265.45058521701293</v>
      </c>
      <c r="C263" s="26">
        <v>1301.7054163795408</v>
      </c>
      <c r="D263" s="26">
        <v>379.24602669567719</v>
      </c>
      <c r="E263" s="26">
        <v>181.17781541101022</v>
      </c>
      <c r="F263" s="26">
        <v>214.76813936990794</v>
      </c>
      <c r="G263" s="26"/>
      <c r="H263" s="26">
        <v>468.46959661462989</v>
      </c>
    </row>
    <row r="264" spans="1:8" x14ac:dyDescent="0.35">
      <c r="A264" s="5" t="s">
        <v>50</v>
      </c>
      <c r="B264" s="26">
        <v>358.12343451449783</v>
      </c>
      <c r="C264" s="26">
        <v>1165.1613548067492</v>
      </c>
      <c r="D264" s="26">
        <v>356.25790012526977</v>
      </c>
      <c r="E264" s="26">
        <v>167.17644834571234</v>
      </c>
      <c r="F264" s="26">
        <v>218.14932323185661</v>
      </c>
      <c r="G264" s="26"/>
      <c r="H264" s="26">
        <v>452.97369220481716</v>
      </c>
    </row>
    <row r="265" spans="1:8" x14ac:dyDescent="0.35">
      <c r="A265" s="2" t="s">
        <v>47</v>
      </c>
      <c r="B265" s="26">
        <v>224.86300589649846</v>
      </c>
      <c r="C265" s="26">
        <v>638.05468119003899</v>
      </c>
      <c r="D265" s="26">
        <v>208.32962617834858</v>
      </c>
      <c r="E265" s="26">
        <v>117.98401010878706</v>
      </c>
      <c r="F265" s="26">
        <v>167.81383966204666</v>
      </c>
      <c r="G265" s="26">
        <v>333.54281147103779</v>
      </c>
      <c r="H265" s="26">
        <v>298.54711174366975</v>
      </c>
    </row>
    <row r="266" spans="1:8" x14ac:dyDescent="0.35">
      <c r="A266" s="5" t="s">
        <v>51</v>
      </c>
      <c r="B266" s="26">
        <v>184.56960260402215</v>
      </c>
      <c r="C266" s="26">
        <v>1029.841480378024</v>
      </c>
      <c r="D266" s="26">
        <v>309.40872110534582</v>
      </c>
      <c r="E266" s="26">
        <v>150.13744047329001</v>
      </c>
      <c r="F266" s="26">
        <v>198.00890410958903</v>
      </c>
      <c r="G266" s="26"/>
      <c r="H266" s="26">
        <v>374.39322973405422</v>
      </c>
    </row>
    <row r="267" spans="1:8" x14ac:dyDescent="0.35">
      <c r="A267" s="5" t="s">
        <v>52</v>
      </c>
      <c r="B267" s="26">
        <v>233.71851068061537</v>
      </c>
      <c r="C267" s="26">
        <v>895.52128858522235</v>
      </c>
      <c r="D267" s="26">
        <v>263.74824135017724</v>
      </c>
      <c r="E267" s="26">
        <v>136.00452443275199</v>
      </c>
      <c r="F267" s="26">
        <v>176.50078445483987</v>
      </c>
      <c r="G267" s="26"/>
      <c r="H267" s="26">
        <v>341.0986699007214</v>
      </c>
    </row>
    <row r="268" spans="1:8" x14ac:dyDescent="0.35">
      <c r="A268" s="5" t="s">
        <v>53</v>
      </c>
      <c r="B268" s="26">
        <v>196.26731630905437</v>
      </c>
      <c r="C268" s="26">
        <v>808.30126514131905</v>
      </c>
      <c r="D268" s="26">
        <v>237.73663526244954</v>
      </c>
      <c r="E268" s="26">
        <v>122.12996043497481</v>
      </c>
      <c r="F268" s="26">
        <v>163.33395271318156</v>
      </c>
      <c r="G268" s="26"/>
      <c r="H268" s="26">
        <v>305.55382597219585</v>
      </c>
    </row>
    <row r="269" spans="1:8" x14ac:dyDescent="0.35">
      <c r="A269" s="5" t="s">
        <v>54</v>
      </c>
      <c r="B269" s="26">
        <v>284.89659399230203</v>
      </c>
      <c r="C269" s="26">
        <v>556.56239589149277</v>
      </c>
      <c r="D269" s="26">
        <v>205.40516673037405</v>
      </c>
      <c r="E269" s="26">
        <v>104.3508829073382</v>
      </c>
      <c r="F269" s="26">
        <v>189.17304821644038</v>
      </c>
      <c r="G269" s="26"/>
      <c r="H269" s="26">
        <v>268.07761754758951</v>
      </c>
    </row>
    <row r="270" spans="1:8" x14ac:dyDescent="0.35">
      <c r="A270" s="5" t="s">
        <v>55</v>
      </c>
      <c r="B270" s="26"/>
      <c r="C270" s="26">
        <v>500.92741935483872</v>
      </c>
      <c r="D270" s="26">
        <v>190.09199189736665</v>
      </c>
      <c r="E270" s="26">
        <v>104.48650406504065</v>
      </c>
      <c r="F270" s="26">
        <v>166.54133316986793</v>
      </c>
      <c r="G270" s="26">
        <v>318.83278688524587</v>
      </c>
      <c r="H270" s="26">
        <v>256.17600707447195</v>
      </c>
    </row>
    <row r="271" spans="1:8" x14ac:dyDescent="0.35">
      <c r="A271" s="5" t="s">
        <v>56</v>
      </c>
      <c r="B271" s="26"/>
      <c r="C271" s="26">
        <v>487.42554929857073</v>
      </c>
      <c r="D271" s="26">
        <v>184.5686491904049</v>
      </c>
      <c r="E271" s="26">
        <v>103.0616366952712</v>
      </c>
      <c r="F271" s="26">
        <v>137.43023708422911</v>
      </c>
      <c r="G271" s="26">
        <v>304.71943252653091</v>
      </c>
      <c r="H271" s="26">
        <v>243.44110095900137</v>
      </c>
    </row>
    <row r="272" spans="1:8" x14ac:dyDescent="0.35">
      <c r="A272" s="5" t="s">
        <v>57</v>
      </c>
      <c r="B272" s="26"/>
      <c r="C272" s="26">
        <v>466.5360118900378</v>
      </c>
      <c r="D272" s="26">
        <v>154.62224050774995</v>
      </c>
      <c r="E272" s="26">
        <v>105.71712175284254</v>
      </c>
      <c r="F272" s="26">
        <v>143.70861788617887</v>
      </c>
      <c r="G272" s="26">
        <v>358.40864721445433</v>
      </c>
      <c r="H272" s="26">
        <v>245.7985278502527</v>
      </c>
    </row>
    <row r="273" spans="1:8" x14ac:dyDescent="0.35">
      <c r="A273" s="5" t="s">
        <v>58</v>
      </c>
      <c r="B273" s="26"/>
      <c r="C273" s="26">
        <v>470.6537675004314</v>
      </c>
      <c r="D273" s="26">
        <v>121.05536338292055</v>
      </c>
      <c r="E273" s="26"/>
      <c r="F273" s="26"/>
      <c r="G273" s="26">
        <v>352.21037925792007</v>
      </c>
      <c r="H273" s="26">
        <v>314.63983671375735</v>
      </c>
    </row>
    <row r="274" spans="1:8" x14ac:dyDescent="0.35">
      <c r="A274" s="5" t="s">
        <v>60</v>
      </c>
      <c r="B274" s="26"/>
      <c r="C274" s="26">
        <v>526.72295267041386</v>
      </c>
      <c r="D274" s="26"/>
      <c r="E274" s="26"/>
      <c r="F274" s="26"/>
      <c r="G274" s="26"/>
      <c r="H274" s="26">
        <v>526.72295267041386</v>
      </c>
    </row>
    <row r="275" spans="1:8" x14ac:dyDescent="0.35">
      <c r="A275" s="2" t="s">
        <v>29</v>
      </c>
      <c r="B275" s="26">
        <v>405.52454653737362</v>
      </c>
      <c r="C275" s="26">
        <v>1049.0223155306396</v>
      </c>
      <c r="D275" s="26">
        <v>1644.2726729379772</v>
      </c>
      <c r="E275" s="26">
        <v>1540.2129156677695</v>
      </c>
      <c r="F275" s="26">
        <v>203.259606045921</v>
      </c>
      <c r="G275" s="26">
        <v>333.54281147103779</v>
      </c>
      <c r="H275" s="26">
        <v>1264.6411072587155</v>
      </c>
    </row>
    <row r="296" spans="1:8" x14ac:dyDescent="0.35">
      <c r="A296" s="4" t="s">
        <v>59</v>
      </c>
      <c r="B296" t="s">
        <v>21</v>
      </c>
    </row>
    <row r="298" spans="1:8" x14ac:dyDescent="0.35">
      <c r="A298" s="4" t="s">
        <v>65</v>
      </c>
      <c r="B298" s="4" t="s">
        <v>38</v>
      </c>
    </row>
    <row r="299" spans="1:8" x14ac:dyDescent="0.35">
      <c r="A299" s="4" t="s">
        <v>28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7</v>
      </c>
      <c r="H299" t="s">
        <v>29</v>
      </c>
    </row>
    <row r="300" spans="1:8" x14ac:dyDescent="0.35">
      <c r="A300" s="2" t="s">
        <v>39</v>
      </c>
      <c r="B300" s="14"/>
      <c r="C300" s="14"/>
      <c r="D300" s="14">
        <v>1.5494969021365608E-2</v>
      </c>
      <c r="E300" s="14">
        <v>1.8769653535088439E-3</v>
      </c>
      <c r="F300" s="14"/>
      <c r="G300" s="14"/>
      <c r="H300" s="14">
        <v>1.0688614785651456E-2</v>
      </c>
    </row>
    <row r="301" spans="1:8" x14ac:dyDescent="0.35">
      <c r="A301" s="5" t="s">
        <v>52</v>
      </c>
      <c r="B301" s="14"/>
      <c r="C301" s="14"/>
      <c r="D301" s="14">
        <v>8.3349375914957419E-3</v>
      </c>
      <c r="E301" s="14"/>
      <c r="F301" s="14"/>
      <c r="G301" s="14"/>
      <c r="H301" s="14">
        <v>8.3349375914957419E-3</v>
      </c>
    </row>
    <row r="302" spans="1:8" x14ac:dyDescent="0.35">
      <c r="A302" s="5" t="s">
        <v>53</v>
      </c>
      <c r="B302" s="14"/>
      <c r="C302" s="14"/>
      <c r="D302" s="14">
        <v>3.2882160983960896E-4</v>
      </c>
      <c r="E302" s="14"/>
      <c r="F302" s="14"/>
      <c r="G302" s="14"/>
      <c r="H302" s="14">
        <v>3.2882160983960896E-4</v>
      </c>
    </row>
    <row r="303" spans="1:8" x14ac:dyDescent="0.35">
      <c r="A303" s="5" t="s">
        <v>54</v>
      </c>
      <c r="B303" s="14"/>
      <c r="C303" s="14"/>
      <c r="D303" s="14">
        <v>6.4260909557485556E-3</v>
      </c>
      <c r="E303" s="14"/>
      <c r="F303" s="14"/>
      <c r="G303" s="14"/>
      <c r="H303" s="14">
        <v>6.4260909557485556E-3</v>
      </c>
    </row>
    <row r="304" spans="1:8" x14ac:dyDescent="0.35">
      <c r="A304" s="5" t="s">
        <v>55</v>
      </c>
      <c r="B304" s="14"/>
      <c r="C304" s="14"/>
      <c r="D304" s="14">
        <v>0.11484390232753297</v>
      </c>
      <c r="E304" s="14"/>
      <c r="F304" s="14"/>
      <c r="G304" s="14"/>
      <c r="H304" s="14">
        <v>0.11484390232753297</v>
      </c>
    </row>
    <row r="305" spans="1:8" x14ac:dyDescent="0.35">
      <c r="A305" s="5" t="s">
        <v>56</v>
      </c>
      <c r="B305" s="14"/>
      <c r="C305" s="14"/>
      <c r="D305" s="14">
        <v>3.2882710960020997E-3</v>
      </c>
      <c r="E305" s="14"/>
      <c r="F305" s="14"/>
      <c r="G305" s="14"/>
      <c r="H305" s="14">
        <v>3.2882710960020997E-3</v>
      </c>
    </row>
    <row r="306" spans="1:8" x14ac:dyDescent="0.35">
      <c r="A306" s="5" t="s">
        <v>57</v>
      </c>
      <c r="B306" s="14"/>
      <c r="C306" s="14"/>
      <c r="D306" s="14">
        <v>2.5156866097414718E-3</v>
      </c>
      <c r="E306" s="14">
        <v>2.454132120887938E-3</v>
      </c>
      <c r="F306" s="14"/>
      <c r="G306" s="14"/>
      <c r="H306" s="14">
        <v>2.4849093653147051E-3</v>
      </c>
    </row>
    <row r="307" spans="1:8" x14ac:dyDescent="0.35">
      <c r="A307" s="5" t="s">
        <v>58</v>
      </c>
      <c r="B307" s="14"/>
      <c r="C307" s="14"/>
      <c r="D307" s="14">
        <v>3.6075791552858194E-3</v>
      </c>
      <c r="E307" s="14">
        <v>3.2800378163169979E-3</v>
      </c>
      <c r="F307" s="14"/>
      <c r="G307" s="14"/>
      <c r="H307" s="14">
        <v>3.4438084858014087E-3</v>
      </c>
    </row>
    <row r="308" spans="1:8" x14ac:dyDescent="0.35">
      <c r="A308" s="5" t="s">
        <v>60</v>
      </c>
      <c r="B308" s="14"/>
      <c r="C308" s="14"/>
      <c r="D308" s="14">
        <v>2.4197441049001907E-3</v>
      </c>
      <c r="E308" s="14">
        <v>2.4003240476638391E-3</v>
      </c>
      <c r="F308" s="14"/>
      <c r="G308" s="14"/>
      <c r="H308" s="14">
        <v>2.4100340762820147E-3</v>
      </c>
    </row>
    <row r="309" spans="1:8" x14ac:dyDescent="0.35">
      <c r="A309" s="5" t="s">
        <v>48</v>
      </c>
      <c r="B309" s="14"/>
      <c r="C309" s="14"/>
      <c r="D309" s="14">
        <v>6.5702420519074909E-3</v>
      </c>
      <c r="E309" s="14">
        <v>7.0844666439170739E-4</v>
      </c>
      <c r="F309" s="14"/>
      <c r="G309" s="14"/>
      <c r="H309" s="14">
        <v>3.639344358149599E-3</v>
      </c>
    </row>
    <row r="310" spans="1:8" x14ac:dyDescent="0.35">
      <c r="A310" s="5" t="s">
        <v>49</v>
      </c>
      <c r="B310" s="14"/>
      <c r="C310" s="14"/>
      <c r="D310" s="14">
        <v>1.6117433517634873E-2</v>
      </c>
      <c r="E310" s="14">
        <v>1.8154006472306272E-3</v>
      </c>
      <c r="F310" s="14"/>
      <c r="G310" s="14"/>
      <c r="H310" s="14">
        <v>8.9664170824327507E-3</v>
      </c>
    </row>
    <row r="311" spans="1:8" x14ac:dyDescent="0.35">
      <c r="A311" s="5" t="s">
        <v>50</v>
      </c>
      <c r="B311" s="14"/>
      <c r="C311" s="14"/>
      <c r="D311" s="14">
        <v>5.9919502149328677E-3</v>
      </c>
      <c r="E311" s="14">
        <v>6.0345082456195415E-4</v>
      </c>
      <c r="F311" s="14"/>
      <c r="G311" s="14"/>
      <c r="H311" s="14">
        <v>3.2977005197474111E-3</v>
      </c>
    </row>
    <row r="312" spans="1:8" x14ac:dyDescent="0.35">
      <c r="A312" s="2" t="s">
        <v>40</v>
      </c>
      <c r="B312" s="14"/>
      <c r="C312" s="14"/>
      <c r="D312" s="14">
        <v>3.128012813098955E-2</v>
      </c>
      <c r="E312" s="14">
        <v>0.11831937422946281</v>
      </c>
      <c r="F312" s="14"/>
      <c r="G312" s="14"/>
      <c r="H312" s="14">
        <v>7.4799751180226179E-2</v>
      </c>
    </row>
    <row r="313" spans="1:8" x14ac:dyDescent="0.35">
      <c r="A313" s="5" t="s">
        <v>51</v>
      </c>
      <c r="B313" s="14"/>
      <c r="C313" s="14"/>
      <c r="D313" s="14">
        <v>2.5298097735711208E-3</v>
      </c>
      <c r="E313" s="14">
        <v>8.3894141978859797E-3</v>
      </c>
      <c r="F313" s="14"/>
      <c r="G313" s="14"/>
      <c r="H313" s="14">
        <v>5.4596119857285505E-3</v>
      </c>
    </row>
    <row r="314" spans="1:8" x14ac:dyDescent="0.35">
      <c r="A314" s="5" t="s">
        <v>52</v>
      </c>
      <c r="B314" s="14"/>
      <c r="C314" s="14"/>
      <c r="D314" s="14">
        <v>0</v>
      </c>
      <c r="E314" s="14">
        <v>2.1726958337506791E-2</v>
      </c>
      <c r="F314" s="14"/>
      <c r="G314" s="14"/>
      <c r="H314" s="14">
        <v>1.0863479168753395E-2</v>
      </c>
    </row>
    <row r="315" spans="1:8" x14ac:dyDescent="0.35">
      <c r="A315" s="5" t="s">
        <v>53</v>
      </c>
      <c r="B315" s="14"/>
      <c r="C315" s="14"/>
      <c r="D315" s="14">
        <v>0</v>
      </c>
      <c r="E315" s="14">
        <v>1.8177237406958056E-2</v>
      </c>
      <c r="F315" s="14"/>
      <c r="G315" s="14"/>
      <c r="H315" s="14">
        <v>9.0886187034790282E-3</v>
      </c>
    </row>
    <row r="316" spans="1:8" x14ac:dyDescent="0.35">
      <c r="A316" s="5" t="s">
        <v>54</v>
      </c>
      <c r="B316" s="14"/>
      <c r="C316" s="14"/>
      <c r="D316" s="14">
        <v>8.1883959846249035E-3</v>
      </c>
      <c r="E316" s="14">
        <v>2.8267978185245578E-3</v>
      </c>
      <c r="F316" s="14"/>
      <c r="G316" s="14"/>
      <c r="H316" s="14">
        <v>5.5075969015747307E-3</v>
      </c>
    </row>
    <row r="317" spans="1:8" x14ac:dyDescent="0.35">
      <c r="A317" s="5" t="s">
        <v>55</v>
      </c>
      <c r="B317" s="14"/>
      <c r="C317" s="14"/>
      <c r="D317" s="14">
        <v>2.1551071660232193E-2</v>
      </c>
      <c r="E317" s="14">
        <v>2.8759331285041045E-2</v>
      </c>
      <c r="F317" s="14"/>
      <c r="G317" s="14"/>
      <c r="H317" s="14">
        <v>2.5155201472636619E-2</v>
      </c>
    </row>
    <row r="318" spans="1:8" x14ac:dyDescent="0.35">
      <c r="A318" s="5" t="s">
        <v>56</v>
      </c>
      <c r="B318" s="14"/>
      <c r="C318" s="14"/>
      <c r="D318" s="14">
        <v>1.9680677103590141E-2</v>
      </c>
      <c r="E318" s="14">
        <v>6.2035687314019212E-2</v>
      </c>
      <c r="F318" s="14"/>
      <c r="G318" s="14"/>
      <c r="H318" s="14">
        <v>4.0858182208804675E-2</v>
      </c>
    </row>
    <row r="319" spans="1:8" x14ac:dyDescent="0.35">
      <c r="A319" s="5" t="s">
        <v>57</v>
      </c>
      <c r="B319" s="14"/>
      <c r="C319" s="14"/>
      <c r="D319" s="14">
        <v>3.006946680867234E-2</v>
      </c>
      <c r="E319" s="14">
        <v>9.4532382435230586E-2</v>
      </c>
      <c r="F319" s="14"/>
      <c r="G319" s="14"/>
      <c r="H319" s="14">
        <v>6.2300924621951463E-2</v>
      </c>
    </row>
    <row r="320" spans="1:8" x14ac:dyDescent="0.35">
      <c r="A320" s="5" t="s">
        <v>58</v>
      </c>
      <c r="B320" s="14"/>
      <c r="C320" s="14"/>
      <c r="D320" s="14">
        <v>4.2780003249366393E-2</v>
      </c>
      <c r="E320" s="14">
        <v>0.15600723489893409</v>
      </c>
      <c r="F320" s="14"/>
      <c r="G320" s="14"/>
      <c r="H320" s="14">
        <v>9.9393619074150244E-2</v>
      </c>
    </row>
    <row r="321" spans="1:8" x14ac:dyDescent="0.35">
      <c r="A321" s="5" t="s">
        <v>60</v>
      </c>
      <c r="B321" s="14"/>
      <c r="C321" s="14"/>
      <c r="D321" s="14">
        <v>2.4206475688200127E-2</v>
      </c>
      <c r="E321" s="14">
        <v>0.14461436270930722</v>
      </c>
      <c r="F321" s="14"/>
      <c r="G321" s="14"/>
      <c r="H321" s="14">
        <v>8.4410419198753667E-2</v>
      </c>
    </row>
    <row r="322" spans="1:8" x14ac:dyDescent="0.35">
      <c r="A322" s="5" t="s">
        <v>48</v>
      </c>
      <c r="B322" s="14"/>
      <c r="C322" s="14"/>
      <c r="D322" s="14">
        <v>5.09358184418916E-2</v>
      </c>
      <c r="E322" s="14">
        <v>0.21252202043574608</v>
      </c>
      <c r="F322" s="14"/>
      <c r="G322" s="14"/>
      <c r="H322" s="14">
        <v>0.13172891943881884</v>
      </c>
    </row>
    <row r="323" spans="1:8" x14ac:dyDescent="0.35">
      <c r="A323" s="5" t="s">
        <v>49</v>
      </c>
      <c r="B323" s="14"/>
      <c r="C323" s="14"/>
      <c r="D323" s="14">
        <v>7.6623724436542348E-2</v>
      </c>
      <c r="E323" s="14">
        <v>0.28466703803700494</v>
      </c>
      <c r="F323" s="14"/>
      <c r="G323" s="14"/>
      <c r="H323" s="14">
        <v>0.18064538123677365</v>
      </c>
    </row>
    <row r="324" spans="1:8" x14ac:dyDescent="0.35">
      <c r="A324" s="5" t="s">
        <v>50</v>
      </c>
      <c r="B324" s="14"/>
      <c r="C324" s="14"/>
      <c r="D324" s="14">
        <v>9.8796094425183459E-2</v>
      </c>
      <c r="E324" s="14">
        <v>0.38557402587739514</v>
      </c>
      <c r="F324" s="14"/>
      <c r="G324" s="14"/>
      <c r="H324" s="14">
        <v>0.24218506015128929</v>
      </c>
    </row>
    <row r="325" spans="1:8" x14ac:dyDescent="0.35">
      <c r="A325" s="2" t="s">
        <v>41</v>
      </c>
      <c r="B325" s="14"/>
      <c r="C325" s="14"/>
      <c r="D325" s="14">
        <v>0.51940418936465083</v>
      </c>
      <c r="E325" s="14">
        <v>0.54438711344404411</v>
      </c>
      <c r="F325" s="14"/>
      <c r="G325" s="14"/>
      <c r="H325" s="14">
        <v>0.53189565140434747</v>
      </c>
    </row>
    <row r="326" spans="1:8" x14ac:dyDescent="0.35">
      <c r="A326" s="5" t="s">
        <v>51</v>
      </c>
      <c r="B326" s="14"/>
      <c r="C326" s="14"/>
      <c r="D326" s="14">
        <v>0.16804948159727301</v>
      </c>
      <c r="E326" s="14">
        <v>0.4598717126135512</v>
      </c>
      <c r="F326" s="14"/>
      <c r="G326" s="14"/>
      <c r="H326" s="14">
        <v>0.31396059710541213</v>
      </c>
    </row>
    <row r="327" spans="1:8" x14ac:dyDescent="0.35">
      <c r="A327" s="5" t="s">
        <v>52</v>
      </c>
      <c r="B327" s="14"/>
      <c r="C327" s="14"/>
      <c r="D327" s="14">
        <v>0.29550854387183517</v>
      </c>
      <c r="E327" s="14">
        <v>0.49962636962548235</v>
      </c>
      <c r="F327" s="14"/>
      <c r="G327" s="14"/>
      <c r="H327" s="14">
        <v>0.39756745674865879</v>
      </c>
    </row>
    <row r="328" spans="1:8" x14ac:dyDescent="0.35">
      <c r="A328" s="5" t="s">
        <v>53</v>
      </c>
      <c r="B328" s="14"/>
      <c r="C328" s="14"/>
      <c r="D328" s="14">
        <v>0.3471007380530875</v>
      </c>
      <c r="E328" s="14">
        <v>0.49077005642717109</v>
      </c>
      <c r="F328" s="14"/>
      <c r="G328" s="14"/>
      <c r="H328" s="14">
        <v>0.41893539724012929</v>
      </c>
    </row>
    <row r="329" spans="1:8" x14ac:dyDescent="0.35">
      <c r="A329" s="5" t="s">
        <v>54</v>
      </c>
      <c r="B329" s="14"/>
      <c r="C329" s="14"/>
      <c r="D329" s="14">
        <v>0.4408182965671894</v>
      </c>
      <c r="E329" s="14">
        <v>0.48890666497225493</v>
      </c>
      <c r="F329" s="14"/>
      <c r="G329" s="14"/>
      <c r="H329" s="14">
        <v>0.46486248076972214</v>
      </c>
    </row>
    <row r="330" spans="1:8" x14ac:dyDescent="0.35">
      <c r="A330" s="5" t="s">
        <v>55</v>
      </c>
      <c r="B330" s="14"/>
      <c r="C330" s="14"/>
      <c r="D330" s="14">
        <v>0.49117381395557835</v>
      </c>
      <c r="E330" s="14">
        <v>0.49279756235851241</v>
      </c>
      <c r="F330" s="14"/>
      <c r="G330" s="14"/>
      <c r="H330" s="14">
        <v>0.49198568815704535</v>
      </c>
    </row>
    <row r="331" spans="1:8" x14ac:dyDescent="0.35">
      <c r="A331" s="5" t="s">
        <v>56</v>
      </c>
      <c r="B331" s="14"/>
      <c r="C331" s="14"/>
      <c r="D331" s="14">
        <v>0.5446444216867069</v>
      </c>
      <c r="E331" s="14">
        <v>0.5618738973373435</v>
      </c>
      <c r="F331" s="14"/>
      <c r="G331" s="14"/>
      <c r="H331" s="14">
        <v>0.5532591595120252</v>
      </c>
    </row>
    <row r="332" spans="1:8" x14ac:dyDescent="0.35">
      <c r="A332" s="5" t="s">
        <v>57</v>
      </c>
      <c r="B332" s="14"/>
      <c r="C332" s="14"/>
      <c r="D332" s="14">
        <v>0.59747222142604639</v>
      </c>
      <c r="E332" s="14">
        <v>0.5925439916261066</v>
      </c>
      <c r="F332" s="14"/>
      <c r="G332" s="14"/>
      <c r="H332" s="14">
        <v>0.5950081065260765</v>
      </c>
    </row>
    <row r="333" spans="1:8" x14ac:dyDescent="0.35">
      <c r="A333" s="5" t="s">
        <v>58</v>
      </c>
      <c r="B333" s="14"/>
      <c r="C333" s="14"/>
      <c r="D333" s="14">
        <v>0.64528170952456154</v>
      </c>
      <c r="E333" s="14">
        <v>0.59507647736617186</v>
      </c>
      <c r="F333" s="14"/>
      <c r="G333" s="14"/>
      <c r="H333" s="14">
        <v>0.6201790934453667</v>
      </c>
    </row>
    <row r="334" spans="1:8" x14ac:dyDescent="0.35">
      <c r="A334" s="5" t="s">
        <v>60</v>
      </c>
      <c r="B334" s="14"/>
      <c r="C334" s="14"/>
      <c r="D334" s="14">
        <v>0.63541069162642805</v>
      </c>
      <c r="E334" s="14">
        <v>0.54553123264373504</v>
      </c>
      <c r="F334" s="14"/>
      <c r="G334" s="14"/>
      <c r="H334" s="14">
        <v>0.59047096213508155</v>
      </c>
    </row>
    <row r="335" spans="1:8" x14ac:dyDescent="0.35">
      <c r="A335" s="5" t="s">
        <v>48</v>
      </c>
      <c r="B335" s="14"/>
      <c r="C335" s="14"/>
      <c r="D335" s="14">
        <v>0.65934023498833727</v>
      </c>
      <c r="E335" s="14">
        <v>0.56175091935675492</v>
      </c>
      <c r="F335" s="14"/>
      <c r="G335" s="14"/>
      <c r="H335" s="14">
        <v>0.61054557717254609</v>
      </c>
    </row>
    <row r="336" spans="1:8" x14ac:dyDescent="0.35">
      <c r="A336" s="5" t="s">
        <v>49</v>
      </c>
      <c r="B336" s="14"/>
      <c r="C336" s="14"/>
      <c r="D336" s="14">
        <v>0.69688338635389202</v>
      </c>
      <c r="E336" s="14">
        <v>0.60786522728096193</v>
      </c>
      <c r="F336" s="14"/>
      <c r="G336" s="14"/>
      <c r="H336" s="14">
        <v>0.65237430681742703</v>
      </c>
    </row>
    <row r="337" spans="1:8" x14ac:dyDescent="0.35">
      <c r="A337" s="5" t="s">
        <v>50</v>
      </c>
      <c r="B337" s="14"/>
      <c r="C337" s="14"/>
      <c r="D337" s="14">
        <v>0.71116673272487385</v>
      </c>
      <c r="E337" s="14">
        <v>0.63603124972048408</v>
      </c>
      <c r="F337" s="14"/>
      <c r="G337" s="14"/>
      <c r="H337" s="14">
        <v>0.67359899122267897</v>
      </c>
    </row>
    <row r="338" spans="1:8" x14ac:dyDescent="0.35">
      <c r="A338" s="2" t="s">
        <v>42</v>
      </c>
      <c r="B338" s="14"/>
      <c r="C338" s="14"/>
      <c r="D338" s="14">
        <v>0.7592489315006925</v>
      </c>
      <c r="E338" s="14">
        <v>0.68947405698136699</v>
      </c>
      <c r="F338" s="14"/>
      <c r="G338" s="14"/>
      <c r="H338" s="14">
        <v>0.7243614942410298</v>
      </c>
    </row>
    <row r="339" spans="1:8" x14ac:dyDescent="0.35">
      <c r="A339" s="5" t="s">
        <v>51</v>
      </c>
      <c r="B339" s="14"/>
      <c r="C339" s="14"/>
      <c r="D339" s="14">
        <v>0.72315800655674256</v>
      </c>
      <c r="E339" s="14">
        <v>0.64446547804717402</v>
      </c>
      <c r="F339" s="14"/>
      <c r="G339" s="14"/>
      <c r="H339" s="14">
        <v>0.68381174230195829</v>
      </c>
    </row>
    <row r="340" spans="1:8" x14ac:dyDescent="0.35">
      <c r="A340" s="5" t="s">
        <v>52</v>
      </c>
      <c r="B340" s="14"/>
      <c r="C340" s="14"/>
      <c r="D340" s="14">
        <v>0.74519737411854603</v>
      </c>
      <c r="E340" s="14">
        <v>0.64335653638877277</v>
      </c>
      <c r="F340" s="14"/>
      <c r="G340" s="14"/>
      <c r="H340" s="14">
        <v>0.6942769552536594</v>
      </c>
    </row>
    <row r="341" spans="1:8" x14ac:dyDescent="0.35">
      <c r="A341" s="5" t="s">
        <v>53</v>
      </c>
      <c r="B341" s="14"/>
      <c r="C341" s="14"/>
      <c r="D341" s="14">
        <v>0.75174960035689053</v>
      </c>
      <c r="E341" s="14">
        <v>0.67447018420890537</v>
      </c>
      <c r="F341" s="14"/>
      <c r="G341" s="14"/>
      <c r="H341" s="14">
        <v>0.71310989228289801</v>
      </c>
    </row>
    <row r="342" spans="1:8" x14ac:dyDescent="0.35">
      <c r="A342" s="5" t="s">
        <v>54</v>
      </c>
      <c r="B342" s="14"/>
      <c r="C342" s="14"/>
      <c r="D342" s="14">
        <v>0.75444307445780023</v>
      </c>
      <c r="E342" s="14">
        <v>0.70199066141271449</v>
      </c>
      <c r="F342" s="14"/>
      <c r="G342" s="14"/>
      <c r="H342" s="14">
        <v>0.72821686793525742</v>
      </c>
    </row>
    <row r="343" spans="1:8" x14ac:dyDescent="0.35">
      <c r="A343" s="5" t="s">
        <v>55</v>
      </c>
      <c r="B343" s="14"/>
      <c r="C343" s="14"/>
      <c r="D343" s="14">
        <v>0.76268295816260256</v>
      </c>
      <c r="E343" s="14">
        <v>0.71670471525403667</v>
      </c>
      <c r="F343" s="14"/>
      <c r="G343" s="14"/>
      <c r="H343" s="14">
        <v>0.73969383670831967</v>
      </c>
    </row>
    <row r="344" spans="1:8" x14ac:dyDescent="0.35">
      <c r="A344" s="5" t="s">
        <v>56</v>
      </c>
      <c r="B344" s="14"/>
      <c r="C344" s="14"/>
      <c r="D344" s="14">
        <v>0.77196216980106536</v>
      </c>
      <c r="E344" s="14">
        <v>0.72260026563920599</v>
      </c>
      <c r="F344" s="14"/>
      <c r="G344" s="14"/>
      <c r="H344" s="14">
        <v>0.74728121772013567</v>
      </c>
    </row>
    <row r="345" spans="1:8" x14ac:dyDescent="0.35">
      <c r="A345" s="5" t="s">
        <v>57</v>
      </c>
      <c r="B345" s="14"/>
      <c r="C345" s="14"/>
      <c r="D345" s="14">
        <v>0.71899797812533184</v>
      </c>
      <c r="E345" s="14">
        <v>0.67518173215752775</v>
      </c>
      <c r="F345" s="14"/>
      <c r="G345" s="14"/>
      <c r="H345" s="14">
        <v>0.69708985514142974</v>
      </c>
    </row>
    <row r="346" spans="1:8" x14ac:dyDescent="0.35">
      <c r="A346" s="5" t="s">
        <v>58</v>
      </c>
      <c r="B346" s="14"/>
      <c r="C346" s="14"/>
      <c r="D346" s="14">
        <v>0.73128378604959399</v>
      </c>
      <c r="E346" s="14">
        <v>0.68657067199109079</v>
      </c>
      <c r="F346" s="14"/>
      <c r="G346" s="14"/>
      <c r="H346" s="14">
        <v>0.70892722902034233</v>
      </c>
    </row>
    <row r="347" spans="1:8" x14ac:dyDescent="0.35">
      <c r="A347" s="5" t="s">
        <v>60</v>
      </c>
      <c r="B347" s="14"/>
      <c r="C347" s="14"/>
      <c r="D347" s="14">
        <v>0.78643871073469174</v>
      </c>
      <c r="E347" s="14">
        <v>0.72405315496819267</v>
      </c>
      <c r="F347" s="14"/>
      <c r="G347" s="14"/>
      <c r="H347" s="14">
        <v>0.75524593285144226</v>
      </c>
    </row>
    <row r="348" spans="1:8" x14ac:dyDescent="0.35">
      <c r="A348" s="5" t="s">
        <v>48</v>
      </c>
      <c r="B348" s="14"/>
      <c r="C348" s="14"/>
      <c r="D348" s="14">
        <v>0.8069770600687084</v>
      </c>
      <c r="E348" s="14">
        <v>0.7214738853389292</v>
      </c>
      <c r="F348" s="14"/>
      <c r="G348" s="14"/>
      <c r="H348" s="14">
        <v>0.7642254727038188</v>
      </c>
    </row>
    <row r="349" spans="1:8" x14ac:dyDescent="0.35">
      <c r="A349" s="5" t="s">
        <v>49</v>
      </c>
      <c r="B349" s="14"/>
      <c r="C349" s="14"/>
      <c r="D349" s="14">
        <v>0.77666453673859426</v>
      </c>
      <c r="E349" s="14">
        <v>0.67740219393708645</v>
      </c>
      <c r="F349" s="14"/>
      <c r="G349" s="14"/>
      <c r="H349" s="14">
        <v>0.72703336533784035</v>
      </c>
    </row>
    <row r="350" spans="1:8" x14ac:dyDescent="0.35">
      <c r="A350" s="5" t="s">
        <v>50</v>
      </c>
      <c r="B350" s="14"/>
      <c r="C350" s="14"/>
      <c r="D350" s="14">
        <v>0.78143192283774343</v>
      </c>
      <c r="E350" s="14">
        <v>0.6854192044327696</v>
      </c>
      <c r="F350" s="14"/>
      <c r="G350" s="14"/>
      <c r="H350" s="14">
        <v>0.73342556363525646</v>
      </c>
    </row>
    <row r="351" spans="1:8" x14ac:dyDescent="0.35">
      <c r="A351" s="2" t="s">
        <v>43</v>
      </c>
      <c r="B351" s="14"/>
      <c r="C351" s="14"/>
      <c r="D351" s="14">
        <v>0.85002855505814157</v>
      </c>
      <c r="E351" s="14">
        <v>0.68230148301586091</v>
      </c>
      <c r="F351" s="14"/>
      <c r="G351" s="14"/>
      <c r="H351" s="14">
        <v>0.76616501903700129</v>
      </c>
    </row>
    <row r="352" spans="1:8" x14ac:dyDescent="0.35">
      <c r="A352" s="5" t="s">
        <v>51</v>
      </c>
      <c r="B352" s="14"/>
      <c r="C352" s="14"/>
      <c r="D352" s="14">
        <v>0.7780356296076445</v>
      </c>
      <c r="E352" s="14">
        <v>0.6780620130639069</v>
      </c>
      <c r="F352" s="14"/>
      <c r="G352" s="14"/>
      <c r="H352" s="14">
        <v>0.72804882133577564</v>
      </c>
    </row>
    <row r="353" spans="1:8" x14ac:dyDescent="0.35">
      <c r="A353" s="5" t="s">
        <v>52</v>
      </c>
      <c r="B353" s="14"/>
      <c r="C353" s="14"/>
      <c r="D353" s="14">
        <v>0.83038224258679427</v>
      </c>
      <c r="E353" s="14">
        <v>0.60034472459502464</v>
      </c>
      <c r="F353" s="14"/>
      <c r="G353" s="14"/>
      <c r="H353" s="14">
        <v>0.71536348359090951</v>
      </c>
    </row>
    <row r="354" spans="1:8" x14ac:dyDescent="0.35">
      <c r="A354" s="5" t="s">
        <v>53</v>
      </c>
      <c r="B354" s="14"/>
      <c r="C354" s="14"/>
      <c r="D354" s="14">
        <v>0.84200363973612113</v>
      </c>
      <c r="E354" s="14">
        <v>0.63414719152587884</v>
      </c>
      <c r="F354" s="14"/>
      <c r="G354" s="14"/>
      <c r="H354" s="14">
        <v>0.73807541563099999</v>
      </c>
    </row>
    <row r="355" spans="1:8" x14ac:dyDescent="0.35">
      <c r="A355" s="5" t="s">
        <v>54</v>
      </c>
      <c r="B355" s="14"/>
      <c r="C355" s="14"/>
      <c r="D355" s="14">
        <v>0.85149054153746973</v>
      </c>
      <c r="E355" s="14">
        <v>0.66603141225434859</v>
      </c>
      <c r="F355" s="14"/>
      <c r="G355" s="14"/>
      <c r="H355" s="14">
        <v>0.75876097689590916</v>
      </c>
    </row>
    <row r="356" spans="1:8" x14ac:dyDescent="0.35">
      <c r="A356" s="5" t="s">
        <v>55</v>
      </c>
      <c r="B356" s="14"/>
      <c r="C356" s="14"/>
      <c r="D356" s="14">
        <v>0.8621611995382078</v>
      </c>
      <c r="E356" s="14">
        <v>0.70277133064590336</v>
      </c>
      <c r="F356" s="14"/>
      <c r="G356" s="14"/>
      <c r="H356" s="14">
        <v>0.78246626509205552</v>
      </c>
    </row>
    <row r="357" spans="1:8" x14ac:dyDescent="0.35">
      <c r="A357" s="5" t="s">
        <v>56</v>
      </c>
      <c r="B357" s="14"/>
      <c r="C357" s="14"/>
      <c r="D357" s="14">
        <v>0.865215422322274</v>
      </c>
      <c r="E357" s="14">
        <v>0.71689208067072119</v>
      </c>
      <c r="F357" s="14"/>
      <c r="G357" s="14"/>
      <c r="H357" s="14">
        <v>0.79105375149649759</v>
      </c>
    </row>
    <row r="358" spans="1:8" x14ac:dyDescent="0.35">
      <c r="A358" s="5" t="s">
        <v>57</v>
      </c>
      <c r="B358" s="14"/>
      <c r="C358" s="14"/>
      <c r="D358" s="14">
        <v>0.86858308968741504</v>
      </c>
      <c r="E358" s="14">
        <v>0.7181165936003221</v>
      </c>
      <c r="F358" s="14"/>
      <c r="G358" s="14"/>
      <c r="H358" s="14">
        <v>0.79334984164386857</v>
      </c>
    </row>
    <row r="359" spans="1:8" x14ac:dyDescent="0.35">
      <c r="A359" s="5" t="s">
        <v>58</v>
      </c>
      <c r="B359" s="14"/>
      <c r="C359" s="14"/>
      <c r="D359" s="14">
        <v>0.85892827859150278</v>
      </c>
      <c r="E359" s="14">
        <v>0.72381666244442522</v>
      </c>
      <c r="F359" s="14"/>
      <c r="G359" s="14"/>
      <c r="H359" s="14">
        <v>0.791372470517964</v>
      </c>
    </row>
    <row r="360" spans="1:8" x14ac:dyDescent="0.35">
      <c r="A360" s="5" t="s">
        <v>60</v>
      </c>
      <c r="B360" s="14"/>
      <c r="C360" s="14"/>
      <c r="D360" s="14">
        <v>0.81654999719559029</v>
      </c>
      <c r="E360" s="14">
        <v>0.63809702904048959</v>
      </c>
      <c r="F360" s="14"/>
      <c r="G360" s="14"/>
      <c r="H360" s="14">
        <v>0.72732351311804</v>
      </c>
    </row>
    <row r="361" spans="1:8" x14ac:dyDescent="0.35">
      <c r="A361" s="5" t="s">
        <v>48</v>
      </c>
      <c r="B361" s="14"/>
      <c r="C361" s="14"/>
      <c r="D361" s="14">
        <v>0.86083295938956483</v>
      </c>
      <c r="E361" s="14">
        <v>0.63891414748514452</v>
      </c>
      <c r="F361" s="14"/>
      <c r="G361" s="14"/>
      <c r="H361" s="14">
        <v>0.74987355343735462</v>
      </c>
    </row>
    <row r="362" spans="1:8" x14ac:dyDescent="0.35">
      <c r="A362" s="5" t="s">
        <v>49</v>
      </c>
      <c r="B362" s="14"/>
      <c r="C362" s="14"/>
      <c r="D362" s="14">
        <v>0.87644320496355965</v>
      </c>
      <c r="E362" s="14">
        <v>0.71404595512543967</v>
      </c>
      <c r="F362" s="14"/>
      <c r="G362" s="14"/>
      <c r="H362" s="14">
        <v>0.7952445800444996</v>
      </c>
    </row>
    <row r="363" spans="1:8" x14ac:dyDescent="0.35">
      <c r="A363" s="5" t="s">
        <v>50</v>
      </c>
      <c r="B363" s="14"/>
      <c r="C363" s="14"/>
      <c r="D363" s="14">
        <v>0.88971645554155443</v>
      </c>
      <c r="E363" s="14">
        <v>0.75637865573872587</v>
      </c>
      <c r="F363" s="14"/>
      <c r="G363" s="14"/>
      <c r="H363" s="14">
        <v>0.8230475556401402</v>
      </c>
    </row>
    <row r="364" spans="1:8" x14ac:dyDescent="0.35">
      <c r="A364" s="2" t="s">
        <v>44</v>
      </c>
      <c r="B364" s="14"/>
      <c r="C364" s="14">
        <v>6.0274416619620887E-2</v>
      </c>
      <c r="D364" s="14">
        <v>0.91238607221473389</v>
      </c>
      <c r="E364" s="14">
        <v>0.80962074244340843</v>
      </c>
      <c r="F364" s="14"/>
      <c r="G364" s="14"/>
      <c r="H364" s="14">
        <v>0.70085760918718121</v>
      </c>
    </row>
    <row r="365" spans="1:8" x14ac:dyDescent="0.35">
      <c r="A365" s="5" t="s">
        <v>51</v>
      </c>
      <c r="B365" s="14"/>
      <c r="C365" s="14"/>
      <c r="D365" s="14">
        <v>0.88925317683731731</v>
      </c>
      <c r="E365" s="14">
        <v>0.76775425998907587</v>
      </c>
      <c r="F365" s="14"/>
      <c r="G365" s="14"/>
      <c r="H365" s="14">
        <v>0.82850371841319659</v>
      </c>
    </row>
    <row r="366" spans="1:8" x14ac:dyDescent="0.35">
      <c r="A366" s="5" t="s">
        <v>52</v>
      </c>
      <c r="B366" s="14"/>
      <c r="C366" s="14"/>
      <c r="D366" s="14">
        <v>0.893309673055102</v>
      </c>
      <c r="E366" s="14">
        <v>0.77597372623027105</v>
      </c>
      <c r="F366" s="14"/>
      <c r="G366" s="14"/>
      <c r="H366" s="14">
        <v>0.83464169964268653</v>
      </c>
    </row>
    <row r="367" spans="1:8" x14ac:dyDescent="0.35">
      <c r="A367" s="5" t="s">
        <v>53</v>
      </c>
      <c r="B367" s="14"/>
      <c r="C367" s="14"/>
      <c r="D367" s="14">
        <v>0.90058093950216767</v>
      </c>
      <c r="E367" s="14">
        <v>0.78960731809966622</v>
      </c>
      <c r="F367" s="14"/>
      <c r="G367" s="14"/>
      <c r="H367" s="14">
        <v>0.84509412880091694</v>
      </c>
    </row>
    <row r="368" spans="1:8" x14ac:dyDescent="0.35">
      <c r="A368" s="5" t="s">
        <v>54</v>
      </c>
      <c r="B368" s="14"/>
      <c r="C368" s="14"/>
      <c r="D368" s="14">
        <v>0.89287349506842217</v>
      </c>
      <c r="E368" s="14">
        <v>0.77644497451666095</v>
      </c>
      <c r="F368" s="14"/>
      <c r="G368" s="14"/>
      <c r="H368" s="14">
        <v>0.83465923479254156</v>
      </c>
    </row>
    <row r="369" spans="1:8" x14ac:dyDescent="0.35">
      <c r="A369" s="5" t="s">
        <v>55</v>
      </c>
      <c r="B369" s="14"/>
      <c r="C369" s="14"/>
      <c r="D369" s="14">
        <v>0.90021048080510369</v>
      </c>
      <c r="E369" s="14">
        <v>0.79840699318506114</v>
      </c>
      <c r="F369" s="14"/>
      <c r="G369" s="14"/>
      <c r="H369" s="14">
        <v>0.84930873699508247</v>
      </c>
    </row>
    <row r="370" spans="1:8" x14ac:dyDescent="0.35">
      <c r="A370" s="5" t="s">
        <v>56</v>
      </c>
      <c r="B370" s="14"/>
      <c r="C370" s="14"/>
      <c r="D370" s="14">
        <v>0.90438936179922902</v>
      </c>
      <c r="E370" s="14">
        <v>0.80729434844419101</v>
      </c>
      <c r="F370" s="14"/>
      <c r="G370" s="14"/>
      <c r="H370" s="14">
        <v>0.85584185512170996</v>
      </c>
    </row>
    <row r="371" spans="1:8" x14ac:dyDescent="0.35">
      <c r="A371" s="5" t="s">
        <v>57</v>
      </c>
      <c r="B371" s="14"/>
      <c r="C371" s="14">
        <v>0</v>
      </c>
      <c r="D371" s="14">
        <v>0.90436807716193779</v>
      </c>
      <c r="E371" s="14">
        <v>0.80713072871810698</v>
      </c>
      <c r="F371" s="14"/>
      <c r="G371" s="14"/>
      <c r="H371" s="14">
        <v>0.57049960196001492</v>
      </c>
    </row>
    <row r="372" spans="1:8" x14ac:dyDescent="0.35">
      <c r="A372" s="5" t="s">
        <v>58</v>
      </c>
      <c r="B372" s="14"/>
      <c r="C372" s="14">
        <v>1.9988022792057837E-2</v>
      </c>
      <c r="D372" s="14">
        <v>0.90991440632146303</v>
      </c>
      <c r="E372" s="14">
        <v>0.80846104497636884</v>
      </c>
      <c r="F372" s="14"/>
      <c r="G372" s="14"/>
      <c r="H372" s="14">
        <v>0.57945449136329652</v>
      </c>
    </row>
    <row r="373" spans="1:8" x14ac:dyDescent="0.35">
      <c r="A373" s="5" t="s">
        <v>60</v>
      </c>
      <c r="B373" s="14"/>
      <c r="C373" s="14">
        <v>6.2078553171781251E-2</v>
      </c>
      <c r="D373" s="14">
        <v>0.91902218697943161</v>
      </c>
      <c r="E373" s="14">
        <v>0.83834391231953387</v>
      </c>
      <c r="F373" s="14"/>
      <c r="G373" s="14"/>
      <c r="H373" s="14">
        <v>0.60648155082358224</v>
      </c>
    </row>
    <row r="374" spans="1:8" x14ac:dyDescent="0.35">
      <c r="A374" s="5" t="s">
        <v>48</v>
      </c>
      <c r="B374" s="14"/>
      <c r="C374" s="14">
        <v>5.34537997387977E-2</v>
      </c>
      <c r="D374" s="14">
        <v>0.94305381877340189</v>
      </c>
      <c r="E374" s="14">
        <v>0.8399135272566407</v>
      </c>
      <c r="F374" s="14"/>
      <c r="G374" s="14"/>
      <c r="H374" s="14">
        <v>0.61214038192294673</v>
      </c>
    </row>
    <row r="375" spans="1:8" x14ac:dyDescent="0.35">
      <c r="A375" s="5" t="s">
        <v>49</v>
      </c>
      <c r="B375" s="14"/>
      <c r="C375" s="14">
        <v>9.6770167215577685E-2</v>
      </c>
      <c r="D375" s="14">
        <v>0.9449112368074829</v>
      </c>
      <c r="E375" s="14">
        <v>0.84348968948062841</v>
      </c>
      <c r="F375" s="14"/>
      <c r="G375" s="14"/>
      <c r="H375" s="14">
        <v>0.62839036450122965</v>
      </c>
    </row>
    <row r="376" spans="1:8" x14ac:dyDescent="0.35">
      <c r="A376" s="5" t="s">
        <v>50</v>
      </c>
      <c r="B376" s="14"/>
      <c r="C376" s="14">
        <v>0.12935595679951084</v>
      </c>
      <c r="D376" s="14">
        <v>0.94674601346574716</v>
      </c>
      <c r="E376" s="14">
        <v>0.86262838610469605</v>
      </c>
      <c r="F376" s="14"/>
      <c r="G376" s="14"/>
      <c r="H376" s="14">
        <v>0.64624345212331802</v>
      </c>
    </row>
    <row r="377" spans="1:8" x14ac:dyDescent="0.35">
      <c r="A377" s="2" t="s">
        <v>45</v>
      </c>
      <c r="B377" s="14">
        <v>0.32594778003537184</v>
      </c>
      <c r="C377" s="14">
        <v>0.16684474246597145</v>
      </c>
      <c r="D377" s="14">
        <v>0.9596402096497374</v>
      </c>
      <c r="E377" s="14">
        <v>0.88869193779889366</v>
      </c>
      <c r="F377" s="14">
        <v>6.3804365081102481E-3</v>
      </c>
      <c r="G377" s="14"/>
      <c r="H377" s="14">
        <v>0.47683995074969188</v>
      </c>
    </row>
    <row r="378" spans="1:8" x14ac:dyDescent="0.35">
      <c r="A378" s="5" t="s">
        <v>51</v>
      </c>
      <c r="B378" s="14"/>
      <c r="C378" s="14">
        <v>0.11166972526124888</v>
      </c>
      <c r="D378" s="14">
        <v>0.94569840536796057</v>
      </c>
      <c r="E378" s="14">
        <v>0.86478999827569891</v>
      </c>
      <c r="F378" s="14">
        <v>0</v>
      </c>
      <c r="G378" s="14"/>
      <c r="H378" s="14">
        <v>0.48053953222622714</v>
      </c>
    </row>
    <row r="379" spans="1:8" x14ac:dyDescent="0.35">
      <c r="A379" s="5" t="s">
        <v>52</v>
      </c>
      <c r="B379" s="14"/>
      <c r="C379" s="14">
        <v>9.1564527990090017E-2</v>
      </c>
      <c r="D379" s="14">
        <v>0.9475821409861197</v>
      </c>
      <c r="E379" s="14">
        <v>0.86720677403164359</v>
      </c>
      <c r="F379" s="14">
        <v>0</v>
      </c>
      <c r="G379" s="14"/>
      <c r="H379" s="14">
        <v>0.47658836075196331</v>
      </c>
    </row>
    <row r="380" spans="1:8" x14ac:dyDescent="0.35">
      <c r="A380" s="5" t="s">
        <v>53</v>
      </c>
      <c r="B380" s="14"/>
      <c r="C380" s="14">
        <v>9.9835573145614698E-2</v>
      </c>
      <c r="D380" s="14">
        <v>0.94905864092186687</v>
      </c>
      <c r="E380" s="14">
        <v>0.8715837961833145</v>
      </c>
      <c r="F380" s="14">
        <v>0</v>
      </c>
      <c r="G380" s="14"/>
      <c r="H380" s="14">
        <v>0.48011950256269897</v>
      </c>
    </row>
    <row r="381" spans="1:8" x14ac:dyDescent="0.35">
      <c r="A381" s="5" t="s">
        <v>54</v>
      </c>
      <c r="B381" s="14">
        <v>0</v>
      </c>
      <c r="C381" s="14">
        <v>0.10427606579294003</v>
      </c>
      <c r="D381" s="14">
        <v>0.95992833904267383</v>
      </c>
      <c r="E381" s="14">
        <v>0.86352942610310257</v>
      </c>
      <c r="F381" s="14">
        <v>0</v>
      </c>
      <c r="G381" s="14"/>
      <c r="H381" s="14">
        <v>0.38554676618774331</v>
      </c>
    </row>
    <row r="382" spans="1:8" x14ac:dyDescent="0.35">
      <c r="A382" s="5" t="s">
        <v>55</v>
      </c>
      <c r="B382" s="14">
        <v>3.0502895999794437E-2</v>
      </c>
      <c r="C382" s="14">
        <v>0.12591096216123979</v>
      </c>
      <c r="D382" s="14">
        <v>0.96480223721098313</v>
      </c>
      <c r="E382" s="14">
        <v>0.87876936102559344</v>
      </c>
      <c r="F382" s="14">
        <v>0</v>
      </c>
      <c r="G382" s="14"/>
      <c r="H382" s="14">
        <v>0.39999709127952221</v>
      </c>
    </row>
    <row r="383" spans="1:8" x14ac:dyDescent="0.35">
      <c r="A383" s="5" t="s">
        <v>56</v>
      </c>
      <c r="B383" s="14">
        <v>9.5382140933605836E-2</v>
      </c>
      <c r="C383" s="14">
        <v>0.15215734590091651</v>
      </c>
      <c r="D383" s="14">
        <v>0.96355060414784888</v>
      </c>
      <c r="E383" s="14">
        <v>0.88637205885277004</v>
      </c>
      <c r="F383" s="14">
        <v>0</v>
      </c>
      <c r="G383" s="14"/>
      <c r="H383" s="14">
        <v>0.41949242996702829</v>
      </c>
    </row>
    <row r="384" spans="1:8" x14ac:dyDescent="0.35">
      <c r="A384" s="5" t="s">
        <v>57</v>
      </c>
      <c r="B384" s="14">
        <v>0.29273696814670275</v>
      </c>
      <c r="C384" s="14">
        <v>0.16766893862555282</v>
      </c>
      <c r="D384" s="14">
        <v>0.96336741211066845</v>
      </c>
      <c r="E384" s="14">
        <v>0.88084187774973055</v>
      </c>
      <c r="F384" s="14">
        <v>0</v>
      </c>
      <c r="G384" s="14"/>
      <c r="H384" s="14">
        <v>0.46092303932653095</v>
      </c>
    </row>
    <row r="385" spans="1:8" x14ac:dyDescent="0.35">
      <c r="A385" s="5" t="s">
        <v>58</v>
      </c>
      <c r="B385" s="14">
        <v>0.39388513918912571</v>
      </c>
      <c r="C385" s="14">
        <v>0.18921681033167403</v>
      </c>
      <c r="D385" s="14">
        <v>0.96606215952415364</v>
      </c>
      <c r="E385" s="14">
        <v>0.90747567624962511</v>
      </c>
      <c r="F385" s="14">
        <v>0</v>
      </c>
      <c r="G385" s="14"/>
      <c r="H385" s="14">
        <v>0.49132795705891563</v>
      </c>
    </row>
    <row r="386" spans="1:8" x14ac:dyDescent="0.35">
      <c r="A386" s="5" t="s">
        <v>60</v>
      </c>
      <c r="B386" s="14">
        <v>0.4756708501991877</v>
      </c>
      <c r="C386" s="14">
        <v>0.2008398224806949</v>
      </c>
      <c r="D386" s="14">
        <v>0.96721935099418621</v>
      </c>
      <c r="E386" s="14">
        <v>0.9105439778036396</v>
      </c>
      <c r="F386" s="14">
        <v>0</v>
      </c>
      <c r="G386" s="14"/>
      <c r="H386" s="14">
        <v>0.51085480029554176</v>
      </c>
    </row>
    <row r="387" spans="1:8" x14ac:dyDescent="0.35">
      <c r="A387" s="5" t="s">
        <v>48</v>
      </c>
      <c r="B387" s="14">
        <v>0.5226091152441924</v>
      </c>
      <c r="C387" s="14">
        <v>0.23307631556411221</v>
      </c>
      <c r="D387" s="14">
        <v>0.96649725174833756</v>
      </c>
      <c r="E387" s="14">
        <v>0.91241087201087767</v>
      </c>
      <c r="F387" s="14">
        <v>3.0897181253433631E-2</v>
      </c>
      <c r="G387" s="14"/>
      <c r="H387" s="14">
        <v>0.53309814716419068</v>
      </c>
    </row>
    <row r="388" spans="1:8" x14ac:dyDescent="0.35">
      <c r="A388" s="5" t="s">
        <v>49</v>
      </c>
      <c r="B388" s="14">
        <v>0.5187854483860026</v>
      </c>
      <c r="C388" s="14">
        <v>0.26110118317104947</v>
      </c>
      <c r="D388" s="14">
        <v>0.96227576409231075</v>
      </c>
      <c r="E388" s="14">
        <v>0.90870797972915485</v>
      </c>
      <c r="F388" s="14">
        <v>3.9287620335779087E-2</v>
      </c>
      <c r="G388" s="14"/>
      <c r="H388" s="14">
        <v>0.53803159914285936</v>
      </c>
    </row>
    <row r="389" spans="1:8" x14ac:dyDescent="0.35">
      <c r="A389" s="5" t="s">
        <v>50</v>
      </c>
      <c r="B389" s="14">
        <v>0.60395746221973456</v>
      </c>
      <c r="C389" s="14">
        <v>0.26481963916652401</v>
      </c>
      <c r="D389" s="14"/>
      <c r="E389" s="14">
        <v>0.91207145557157221</v>
      </c>
      <c r="F389" s="14"/>
      <c r="G389" s="14"/>
      <c r="H389" s="14">
        <v>0.59361618565261021</v>
      </c>
    </row>
    <row r="390" spans="1:8" x14ac:dyDescent="0.35">
      <c r="A390" s="2" t="s">
        <v>46</v>
      </c>
      <c r="B390" s="14">
        <v>0.66487061433055183</v>
      </c>
      <c r="C390" s="14">
        <v>0.43509157494108797</v>
      </c>
      <c r="D390" s="14">
        <v>0.61513678556821272</v>
      </c>
      <c r="E390" s="14">
        <v>0.93632378153440887</v>
      </c>
      <c r="F390" s="14">
        <v>0.20161187472492872</v>
      </c>
      <c r="G390" s="14"/>
      <c r="H390" s="14">
        <v>0.57060692621983811</v>
      </c>
    </row>
    <row r="391" spans="1:8" x14ac:dyDescent="0.35">
      <c r="A391" s="5" t="s">
        <v>51</v>
      </c>
      <c r="B391" s="14">
        <v>0.38647593720753248</v>
      </c>
      <c r="C391" s="14">
        <v>0.3192039131876635</v>
      </c>
      <c r="D391" s="14">
        <v>0.3106697261209353</v>
      </c>
      <c r="E391" s="14">
        <v>0.91242107341215684</v>
      </c>
      <c r="F391" s="14">
        <v>3.3605032911228627E-2</v>
      </c>
      <c r="G391" s="14"/>
      <c r="H391" s="14">
        <v>0.39247513656790334</v>
      </c>
    </row>
    <row r="392" spans="1:8" x14ac:dyDescent="0.35">
      <c r="A392" s="5" t="s">
        <v>52</v>
      </c>
      <c r="B392" s="14">
        <v>0.52848640271340774</v>
      </c>
      <c r="C392" s="14">
        <v>0.35680389603897456</v>
      </c>
      <c r="D392" s="14">
        <v>0.43567989323817768</v>
      </c>
      <c r="E392" s="14">
        <v>0.92750390160857155</v>
      </c>
      <c r="F392" s="14">
        <v>5.3507235118629502E-2</v>
      </c>
      <c r="G392" s="14"/>
      <c r="H392" s="14">
        <v>0.46039626574355219</v>
      </c>
    </row>
    <row r="393" spans="1:8" x14ac:dyDescent="0.35">
      <c r="A393" s="5" t="s">
        <v>53</v>
      </c>
      <c r="B393" s="14">
        <v>0.66378828203899432</v>
      </c>
      <c r="C393" s="14">
        <v>0.30433654419875578</v>
      </c>
      <c r="D393" s="14">
        <v>0.4988889058734739</v>
      </c>
      <c r="E393" s="14">
        <v>0.93015231463555825</v>
      </c>
      <c r="F393" s="14">
        <v>6.9710862191973824E-2</v>
      </c>
      <c r="G393" s="14"/>
      <c r="H393" s="14">
        <v>0.49337538178775125</v>
      </c>
    </row>
    <row r="394" spans="1:8" x14ac:dyDescent="0.35">
      <c r="A394" s="5" t="s">
        <v>54</v>
      </c>
      <c r="B394" s="14">
        <v>0.71438366035049716</v>
      </c>
      <c r="C394" s="14">
        <v>0.30409559326634644</v>
      </c>
      <c r="D394" s="14">
        <v>0.51245547920409051</v>
      </c>
      <c r="E394" s="14">
        <v>0.92946892685639981</v>
      </c>
      <c r="F394" s="14">
        <v>6.9469959261241387E-2</v>
      </c>
      <c r="G394" s="14"/>
      <c r="H394" s="14">
        <v>0.50597472378771502</v>
      </c>
    </row>
    <row r="395" spans="1:8" x14ac:dyDescent="0.35">
      <c r="A395" s="5" t="s">
        <v>55</v>
      </c>
      <c r="B395" s="14">
        <v>0.61673713220588477</v>
      </c>
      <c r="C395" s="14">
        <v>0.30741434590128341</v>
      </c>
      <c r="D395" s="14">
        <v>0.59721413521383238</v>
      </c>
      <c r="E395" s="14">
        <v>0.93506451858483008</v>
      </c>
      <c r="F395" s="14">
        <v>6.921758916263164E-2</v>
      </c>
      <c r="G395" s="14"/>
      <c r="H395" s="14">
        <v>0.50512954421369238</v>
      </c>
    </row>
    <row r="396" spans="1:8" x14ac:dyDescent="0.35">
      <c r="A396" s="5" t="s">
        <v>56</v>
      </c>
      <c r="B396" s="14">
        <v>0.69633646178491648</v>
      </c>
      <c r="C396" s="14">
        <v>0.3218608624642027</v>
      </c>
      <c r="D396" s="14">
        <v>0.62744698695512391</v>
      </c>
      <c r="E396" s="14">
        <v>0.9429716170128809</v>
      </c>
      <c r="F396" s="14">
        <v>7.3677720304141381E-2</v>
      </c>
      <c r="G396" s="14"/>
      <c r="H396" s="14">
        <v>0.53245872970425301</v>
      </c>
    </row>
    <row r="397" spans="1:8" x14ac:dyDescent="0.35">
      <c r="A397" s="5" t="s">
        <v>57</v>
      </c>
      <c r="B397" s="14">
        <v>0.80148764577117837</v>
      </c>
      <c r="C397" s="14">
        <v>0.45255892710969003</v>
      </c>
      <c r="D397" s="14">
        <v>0.6556767517440425</v>
      </c>
      <c r="E397" s="14">
        <v>0.93471541385870238</v>
      </c>
      <c r="F397" s="14">
        <v>7.6242159128425233E-2</v>
      </c>
      <c r="G397" s="14"/>
      <c r="H397" s="14">
        <v>0.58413617952240771</v>
      </c>
    </row>
    <row r="398" spans="1:8" x14ac:dyDescent="0.35">
      <c r="A398" s="5" t="s">
        <v>58</v>
      </c>
      <c r="B398" s="14">
        <v>0.65009110243082002</v>
      </c>
      <c r="C398" s="14">
        <v>0.50293749632112694</v>
      </c>
      <c r="D398" s="14">
        <v>0.70127303957293519</v>
      </c>
      <c r="E398" s="14">
        <v>0.94227371010483241</v>
      </c>
      <c r="F398" s="14">
        <v>0.3416442011317109</v>
      </c>
      <c r="G398" s="14"/>
      <c r="H398" s="14">
        <v>0.62764390991228514</v>
      </c>
    </row>
    <row r="399" spans="1:8" x14ac:dyDescent="0.35">
      <c r="A399" s="5" t="s">
        <v>60</v>
      </c>
      <c r="B399" s="14">
        <v>0.69566348006043144</v>
      </c>
      <c r="C399" s="14">
        <v>0.54348902993821291</v>
      </c>
      <c r="D399" s="14">
        <v>0.73728881092399956</v>
      </c>
      <c r="E399" s="14">
        <v>0.94098309218440535</v>
      </c>
      <c r="F399" s="14">
        <v>0.34958176845431893</v>
      </c>
      <c r="G399" s="14"/>
      <c r="H399" s="14">
        <v>0.65340123631227365</v>
      </c>
    </row>
    <row r="400" spans="1:8" x14ac:dyDescent="0.35">
      <c r="A400" s="5" t="s">
        <v>48</v>
      </c>
      <c r="B400" s="14">
        <v>0.76817511522306159</v>
      </c>
      <c r="C400" s="14">
        <v>0.56124063321157702</v>
      </c>
      <c r="D400" s="14">
        <v>0.76241627905814879</v>
      </c>
      <c r="E400" s="14">
        <v>0.94555681878897768</v>
      </c>
      <c r="F400" s="14">
        <v>0.36375501857059078</v>
      </c>
      <c r="G400" s="14"/>
      <c r="H400" s="14">
        <v>0.68022877297047124</v>
      </c>
    </row>
    <row r="401" spans="1:8" x14ac:dyDescent="0.35">
      <c r="A401" s="5" t="s">
        <v>49</v>
      </c>
      <c r="B401" s="14">
        <v>0.7780757887782096</v>
      </c>
      <c r="C401" s="14">
        <v>0.61045595516109974</v>
      </c>
      <c r="D401" s="14">
        <v>0.76812113237115864</v>
      </c>
      <c r="E401" s="14">
        <v>0.94648321296992577</v>
      </c>
      <c r="F401" s="14">
        <v>0.41108201029628827</v>
      </c>
      <c r="G401" s="14"/>
      <c r="H401" s="14">
        <v>0.70284361991533639</v>
      </c>
    </row>
    <row r="402" spans="1:8" x14ac:dyDescent="0.35">
      <c r="A402" s="5" t="s">
        <v>50</v>
      </c>
      <c r="B402" s="14">
        <v>0.67874636340168848</v>
      </c>
      <c r="C402" s="14">
        <v>0.6367017024941215</v>
      </c>
      <c r="D402" s="14">
        <v>0.77451028654263454</v>
      </c>
      <c r="E402" s="14">
        <v>0.94829077839566667</v>
      </c>
      <c r="F402" s="14">
        <v>0.50784894016796434</v>
      </c>
      <c r="G402" s="14"/>
      <c r="H402" s="14">
        <v>0.70921961420041524</v>
      </c>
    </row>
    <row r="403" spans="1:8" x14ac:dyDescent="0.35">
      <c r="A403" s="2" t="s">
        <v>47</v>
      </c>
      <c r="B403" s="14">
        <v>0.78608264503598035</v>
      </c>
      <c r="C403" s="14">
        <v>0.79656775723118256</v>
      </c>
      <c r="D403" s="14">
        <v>0.85090278780288109</v>
      </c>
      <c r="E403" s="14">
        <v>0.96276339885714535</v>
      </c>
      <c r="F403" s="14">
        <v>0.56832996378301259</v>
      </c>
      <c r="G403" s="14">
        <v>0.22567957695146457</v>
      </c>
      <c r="H403" s="14">
        <v>0.73694960369063012</v>
      </c>
    </row>
    <row r="404" spans="1:8" x14ac:dyDescent="0.35">
      <c r="A404" s="5" t="s">
        <v>51</v>
      </c>
      <c r="B404" s="14">
        <v>0.8248037927524956</v>
      </c>
      <c r="C404" s="14">
        <v>0.68264695746060211</v>
      </c>
      <c r="D404" s="14">
        <v>0.80408518835510456</v>
      </c>
      <c r="E404" s="14">
        <v>0.95473102684296896</v>
      </c>
      <c r="F404" s="14">
        <v>0.55795095904486958</v>
      </c>
      <c r="G404" s="14"/>
      <c r="H404" s="14">
        <v>0.76484358489120818</v>
      </c>
    </row>
    <row r="405" spans="1:8" x14ac:dyDescent="0.35">
      <c r="A405" s="5" t="s">
        <v>52</v>
      </c>
      <c r="B405" s="14">
        <v>0.77167611315656015</v>
      </c>
      <c r="C405" s="14">
        <v>0.7196072686605508</v>
      </c>
      <c r="D405" s="14">
        <v>0.82180533260850608</v>
      </c>
      <c r="E405" s="14">
        <v>0.95634787831886769</v>
      </c>
      <c r="F405" s="14">
        <v>0.53553023312894588</v>
      </c>
      <c r="G405" s="14"/>
      <c r="H405" s="14">
        <v>0.76099336517468608</v>
      </c>
    </row>
    <row r="406" spans="1:8" x14ac:dyDescent="0.35">
      <c r="A406" s="5" t="s">
        <v>53</v>
      </c>
      <c r="B406" s="14">
        <v>0.82132347402285222</v>
      </c>
      <c r="C406" s="14">
        <v>0.75385099953157864</v>
      </c>
      <c r="D406" s="14">
        <v>0.84624253715596964</v>
      </c>
      <c r="E406" s="14">
        <v>0.96315217451054758</v>
      </c>
      <c r="F406" s="14">
        <v>0.57329785404988731</v>
      </c>
      <c r="G406" s="14"/>
      <c r="H406" s="14">
        <v>0.79157340785416708</v>
      </c>
    </row>
    <row r="407" spans="1:8" x14ac:dyDescent="0.35">
      <c r="A407" s="5" t="s">
        <v>54</v>
      </c>
      <c r="B407" s="14">
        <v>0.72652720021201345</v>
      </c>
      <c r="C407" s="14">
        <v>0.81181508130670321</v>
      </c>
      <c r="D407" s="14">
        <v>0.85784601535045002</v>
      </c>
      <c r="E407" s="14">
        <v>0.96725411415950946</v>
      </c>
      <c r="F407" s="14">
        <v>0.55589869686657689</v>
      </c>
      <c r="G407" s="14"/>
      <c r="H407" s="14">
        <v>0.78386822157905056</v>
      </c>
    </row>
    <row r="408" spans="1:8" x14ac:dyDescent="0.35">
      <c r="A408" s="5" t="s">
        <v>55</v>
      </c>
      <c r="B408" s="14"/>
      <c r="C408" s="14">
        <v>0.82546863701050577</v>
      </c>
      <c r="D408" s="14">
        <v>0.86039695893476553</v>
      </c>
      <c r="E408" s="14">
        <v>0.96531348717581655</v>
      </c>
      <c r="F408" s="14">
        <v>0.56096902404341165</v>
      </c>
      <c r="G408" s="14">
        <v>0.28885573667390657</v>
      </c>
      <c r="H408" s="14">
        <v>0.70020076876768123</v>
      </c>
    </row>
    <row r="409" spans="1:8" x14ac:dyDescent="0.35">
      <c r="A409" s="5" t="s">
        <v>56</v>
      </c>
      <c r="B409" s="14"/>
      <c r="C409" s="14">
        <v>0.83091184652304861</v>
      </c>
      <c r="D409" s="14">
        <v>0.86484887831998392</v>
      </c>
      <c r="E409" s="14">
        <v>0.96637685438039711</v>
      </c>
      <c r="F409" s="14">
        <v>0.60879268070938664</v>
      </c>
      <c r="G409" s="14">
        <v>0.20671814624804646</v>
      </c>
      <c r="H409" s="14">
        <v>0.69552968123617265</v>
      </c>
    </row>
    <row r="410" spans="1:8" x14ac:dyDescent="0.35">
      <c r="A410" s="5" t="s">
        <v>57</v>
      </c>
      <c r="B410" s="14"/>
      <c r="C410" s="14">
        <v>0.8427359472436744</v>
      </c>
      <c r="D410" s="14">
        <v>0.86848581539711089</v>
      </c>
      <c r="E410" s="14">
        <v>0.96616825661190975</v>
      </c>
      <c r="F410" s="14">
        <v>0.58587029863801077</v>
      </c>
      <c r="G410" s="14">
        <v>0.1972594259988745</v>
      </c>
      <c r="H410" s="14">
        <v>0.69210394877791603</v>
      </c>
    </row>
    <row r="411" spans="1:8" x14ac:dyDescent="0.35">
      <c r="A411" s="5" t="s">
        <v>58</v>
      </c>
      <c r="B411" s="14"/>
      <c r="C411" s="14">
        <v>0.85750550681453641</v>
      </c>
      <c r="D411" s="14">
        <v>0.88351157630115751</v>
      </c>
      <c r="E411" s="14"/>
      <c r="F411" s="14"/>
      <c r="G411" s="14">
        <v>0.20988499888503076</v>
      </c>
      <c r="H411" s="14">
        <v>0.65030069400024149</v>
      </c>
    </row>
    <row r="412" spans="1:8" x14ac:dyDescent="0.35">
      <c r="A412" s="5" t="s">
        <v>60</v>
      </c>
      <c r="B412" s="14"/>
      <c r="C412" s="14">
        <v>0.8445675705294432</v>
      </c>
      <c r="D412" s="14"/>
      <c r="E412" s="14"/>
      <c r="F412" s="14"/>
      <c r="G412" s="14"/>
      <c r="H412" s="14">
        <v>0.8445675705294432</v>
      </c>
    </row>
    <row r="413" spans="1:8" x14ac:dyDescent="0.35">
      <c r="A413" s="2" t="s">
        <v>29</v>
      </c>
      <c r="B413" s="14">
        <v>0.56225231889715566</v>
      </c>
      <c r="C413" s="14">
        <v>0.37830749035084826</v>
      </c>
      <c r="D413" s="14">
        <v>0.60572083539072774</v>
      </c>
      <c r="E413" s="14">
        <v>0.64721677791227239</v>
      </c>
      <c r="F413" s="14">
        <v>0.21559456815898156</v>
      </c>
      <c r="G413" s="14">
        <v>0.22567957695146457</v>
      </c>
      <c r="H413" s="14">
        <v>0.54122696335364329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28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3" sqref="K3"/>
    </sheetView>
  </sheetViews>
  <sheetFormatPr defaultRowHeight="12.75" x14ac:dyDescent="0.35"/>
  <cols>
    <col min="1" max="1" width="20.86328125" customWidth="1"/>
    <col min="2" max="2" width="10.53125" customWidth="1"/>
    <col min="5" max="5" width="11.796875" customWidth="1"/>
    <col min="6" max="6" width="9" bestFit="1" customWidth="1"/>
    <col min="7" max="7" width="10.1328125" bestFit="1" customWidth="1"/>
    <col min="8" max="8" width="9" bestFit="1" customWidth="1"/>
    <col min="9" max="9" width="10.1328125" bestFit="1" customWidth="1"/>
  </cols>
  <sheetData>
    <row r="1" spans="1:11" x14ac:dyDescent="0.3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</row>
    <row r="2" spans="1:11" x14ac:dyDescent="0.35">
      <c r="A2" s="3"/>
      <c r="B2" s="3"/>
      <c r="C2" s="3"/>
      <c r="D2" s="3"/>
      <c r="E2" s="3" t="s">
        <v>13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</row>
    <row r="3" spans="1:11" x14ac:dyDescent="0.35">
      <c r="A3" t="s">
        <v>1</v>
      </c>
      <c r="B3">
        <v>7405</v>
      </c>
      <c r="C3">
        <v>2014</v>
      </c>
      <c r="D3">
        <v>4</v>
      </c>
      <c r="E3" s="1">
        <v>227.5</v>
      </c>
      <c r="F3" s="1">
        <v>11142.47</v>
      </c>
      <c r="G3" s="1">
        <v>1597936.65</v>
      </c>
      <c r="H3" s="1">
        <v>0</v>
      </c>
      <c r="I3" s="1" t="s">
        <v>0</v>
      </c>
      <c r="J3" s="1" t="s">
        <v>0</v>
      </c>
    </row>
    <row r="4" spans="1:11" x14ac:dyDescent="0.35">
      <c r="A4" t="s">
        <v>1</v>
      </c>
      <c r="B4">
        <v>7405</v>
      </c>
      <c r="C4">
        <v>2014</v>
      </c>
      <c r="D4">
        <v>5</v>
      </c>
      <c r="E4" s="1">
        <v>733.83334000000002</v>
      </c>
      <c r="F4" s="1">
        <v>24901.95</v>
      </c>
      <c r="G4" s="1">
        <v>3496229.65</v>
      </c>
      <c r="H4" s="1">
        <v>783.48</v>
      </c>
      <c r="I4" s="1" t="s">
        <v>0</v>
      </c>
      <c r="J4" s="1" t="s">
        <v>0</v>
      </c>
    </row>
    <row r="5" spans="1:11" x14ac:dyDescent="0.35">
      <c r="A5" t="s">
        <v>1</v>
      </c>
      <c r="B5">
        <v>7405</v>
      </c>
      <c r="C5">
        <v>2014</v>
      </c>
      <c r="D5">
        <v>6</v>
      </c>
      <c r="E5" s="1">
        <v>705.91665999999998</v>
      </c>
      <c r="F5" s="1">
        <v>19617.759999999998</v>
      </c>
      <c r="G5" s="1">
        <v>2886661.69</v>
      </c>
      <c r="H5" s="1">
        <v>2068.48</v>
      </c>
      <c r="I5" s="1" t="s">
        <v>0</v>
      </c>
      <c r="J5" s="1" t="s">
        <v>0</v>
      </c>
    </row>
    <row r="6" spans="1:11" x14ac:dyDescent="0.35">
      <c r="A6" t="s">
        <v>1</v>
      </c>
      <c r="B6">
        <v>7405</v>
      </c>
      <c r="C6">
        <v>2014</v>
      </c>
      <c r="D6">
        <v>7</v>
      </c>
      <c r="E6" s="1">
        <v>742.41665999999998</v>
      </c>
      <c r="F6" s="1">
        <v>15085.68</v>
      </c>
      <c r="G6" s="1">
        <v>2249365.75</v>
      </c>
      <c r="H6" s="1">
        <v>6243.98</v>
      </c>
      <c r="I6" s="1" t="s">
        <v>0</v>
      </c>
      <c r="J6" s="1" t="s">
        <v>0</v>
      </c>
    </row>
    <row r="7" spans="1:11" x14ac:dyDescent="0.35">
      <c r="A7" t="s">
        <v>1</v>
      </c>
      <c r="B7">
        <v>7405</v>
      </c>
      <c r="C7">
        <v>2014</v>
      </c>
      <c r="D7">
        <v>8</v>
      </c>
      <c r="E7" s="1">
        <v>432.99166000000002</v>
      </c>
      <c r="F7" s="1">
        <v>6970.43</v>
      </c>
      <c r="G7" s="1">
        <v>1048190.8</v>
      </c>
      <c r="H7" s="1">
        <v>4529.75</v>
      </c>
      <c r="I7" s="1" t="s">
        <v>0</v>
      </c>
      <c r="J7" s="1" t="s">
        <v>0</v>
      </c>
    </row>
    <row r="8" spans="1:11" x14ac:dyDescent="0.35">
      <c r="A8" t="s">
        <v>1</v>
      </c>
      <c r="B8">
        <v>7405</v>
      </c>
      <c r="C8">
        <v>2014</v>
      </c>
      <c r="D8">
        <v>9</v>
      </c>
      <c r="E8" s="1">
        <v>630.29999999999995</v>
      </c>
      <c r="F8" s="1">
        <v>9168.43</v>
      </c>
      <c r="G8" s="1">
        <v>1414099.99</v>
      </c>
      <c r="H8" s="1">
        <v>8317.59</v>
      </c>
      <c r="I8" s="1" t="s">
        <v>0</v>
      </c>
      <c r="J8" s="1" t="s">
        <v>0</v>
      </c>
    </row>
    <row r="9" spans="1:11" x14ac:dyDescent="0.35">
      <c r="A9" t="s">
        <v>1</v>
      </c>
      <c r="B9">
        <v>7405</v>
      </c>
      <c r="C9">
        <v>2014</v>
      </c>
      <c r="D9">
        <v>10</v>
      </c>
      <c r="E9" s="1">
        <v>745</v>
      </c>
      <c r="F9" s="1">
        <v>9468.06</v>
      </c>
      <c r="G9" s="1">
        <v>1462063.99</v>
      </c>
      <c r="H9" s="1">
        <v>10364.870000000001</v>
      </c>
      <c r="I9" s="1" t="s">
        <v>0</v>
      </c>
      <c r="J9" s="1" t="s">
        <v>0</v>
      </c>
    </row>
    <row r="10" spans="1:11" x14ac:dyDescent="0.35">
      <c r="A10" t="s">
        <v>1</v>
      </c>
      <c r="B10">
        <v>7405</v>
      </c>
      <c r="C10">
        <v>2014</v>
      </c>
      <c r="D10">
        <v>11</v>
      </c>
      <c r="E10" s="1">
        <v>579.77499999999998</v>
      </c>
      <c r="F10" s="1">
        <v>6710.33</v>
      </c>
      <c r="G10" s="1">
        <v>1044188.3</v>
      </c>
      <c r="H10" s="1">
        <v>7234.24</v>
      </c>
      <c r="I10" s="1" t="s">
        <v>0</v>
      </c>
      <c r="J10" s="1" t="s">
        <v>0</v>
      </c>
    </row>
    <row r="11" spans="1:11" x14ac:dyDescent="0.35">
      <c r="A11" t="s">
        <v>1</v>
      </c>
      <c r="B11">
        <v>7405</v>
      </c>
      <c r="C11">
        <v>2014</v>
      </c>
      <c r="D11">
        <v>12</v>
      </c>
      <c r="E11" s="1">
        <v>27.5</v>
      </c>
      <c r="F11" s="1">
        <v>120.29</v>
      </c>
      <c r="G11" s="1">
        <v>25857.08</v>
      </c>
      <c r="H11" s="1">
        <v>183.44</v>
      </c>
      <c r="I11" s="1" t="s">
        <v>0</v>
      </c>
      <c r="J11" s="1" t="s">
        <v>0</v>
      </c>
    </row>
    <row r="12" spans="1:11" x14ac:dyDescent="0.35">
      <c r="A12" t="s">
        <v>1</v>
      </c>
      <c r="B12">
        <v>7405</v>
      </c>
      <c r="C12">
        <v>2015</v>
      </c>
      <c r="D12">
        <v>1</v>
      </c>
      <c r="E12" s="1">
        <v>479.91667000000001</v>
      </c>
      <c r="F12" s="1">
        <v>10875.53</v>
      </c>
      <c r="G12" s="1">
        <v>1604934.6</v>
      </c>
      <c r="H12" s="1">
        <v>6850.8</v>
      </c>
      <c r="I12" s="1" t="s">
        <v>0</v>
      </c>
      <c r="J12" s="1" t="s">
        <v>0</v>
      </c>
    </row>
    <row r="13" spans="1:11" x14ac:dyDescent="0.35">
      <c r="A13" t="s">
        <v>1</v>
      </c>
      <c r="B13">
        <v>7405</v>
      </c>
      <c r="C13">
        <v>2015</v>
      </c>
      <c r="D13">
        <v>2</v>
      </c>
      <c r="E13" s="1">
        <v>437.41667000000001</v>
      </c>
      <c r="F13" s="1">
        <v>9586.64</v>
      </c>
      <c r="G13" s="1">
        <v>1439453.67</v>
      </c>
      <c r="H13" s="1">
        <v>10744.99</v>
      </c>
      <c r="I13" s="1" t="s">
        <v>0</v>
      </c>
      <c r="J13" s="1" t="s">
        <v>0</v>
      </c>
    </row>
    <row r="14" spans="1:11" x14ac:dyDescent="0.35">
      <c r="A14" t="s">
        <v>1</v>
      </c>
      <c r="B14">
        <v>7405</v>
      </c>
      <c r="C14">
        <v>2015</v>
      </c>
      <c r="D14">
        <v>3</v>
      </c>
      <c r="E14" s="1">
        <v>320.20832999999999</v>
      </c>
      <c r="F14" s="1">
        <v>5879.22</v>
      </c>
      <c r="G14" s="1">
        <v>856681.45</v>
      </c>
      <c r="H14" s="1">
        <v>11607.44</v>
      </c>
      <c r="I14" s="1" t="s">
        <v>0</v>
      </c>
      <c r="J14" s="1" t="s">
        <v>0</v>
      </c>
    </row>
    <row r="15" spans="1:11" x14ac:dyDescent="0.35">
      <c r="A15" t="s">
        <v>1</v>
      </c>
      <c r="B15">
        <v>7405</v>
      </c>
      <c r="C15">
        <v>2015</v>
      </c>
      <c r="D15">
        <v>4</v>
      </c>
      <c r="E15" s="1">
        <v>262.83332999999999</v>
      </c>
      <c r="F15" s="1">
        <v>3924.18</v>
      </c>
      <c r="G15" s="1">
        <v>566709.81000000006</v>
      </c>
      <c r="H15" s="1">
        <v>9815.16</v>
      </c>
      <c r="I15" s="1" t="s">
        <v>0</v>
      </c>
      <c r="J15" s="1" t="s">
        <v>0</v>
      </c>
    </row>
    <row r="16" spans="1:11" x14ac:dyDescent="0.35">
      <c r="A16" t="s">
        <v>1</v>
      </c>
      <c r="B16">
        <v>7405</v>
      </c>
      <c r="C16">
        <v>2015</v>
      </c>
      <c r="D16">
        <v>5</v>
      </c>
      <c r="E16" s="1">
        <v>181.08332999999999</v>
      </c>
      <c r="F16" s="1">
        <v>3832.69</v>
      </c>
      <c r="G16" s="1">
        <v>559060.34</v>
      </c>
      <c r="H16" s="1">
        <v>6167.47</v>
      </c>
      <c r="I16" s="1" t="s">
        <v>0</v>
      </c>
      <c r="J16" s="1" t="s">
        <v>0</v>
      </c>
    </row>
    <row r="17" spans="1:10" x14ac:dyDescent="0.35">
      <c r="A17" t="s">
        <v>1</v>
      </c>
      <c r="B17">
        <v>7405</v>
      </c>
      <c r="C17">
        <v>2015</v>
      </c>
      <c r="D17">
        <v>6</v>
      </c>
      <c r="E17" s="1">
        <v>466.44986</v>
      </c>
      <c r="F17" s="1">
        <v>6344.5</v>
      </c>
      <c r="G17" s="1">
        <v>925337.48</v>
      </c>
      <c r="H17" s="1">
        <v>14548.69</v>
      </c>
      <c r="I17" s="1" t="s">
        <v>0</v>
      </c>
      <c r="J17" s="1" t="s">
        <v>0</v>
      </c>
    </row>
    <row r="18" spans="1:10" x14ac:dyDescent="0.35">
      <c r="A18" t="s">
        <v>1</v>
      </c>
      <c r="B18">
        <v>7405</v>
      </c>
      <c r="C18">
        <v>2015</v>
      </c>
      <c r="D18">
        <v>7</v>
      </c>
      <c r="E18" s="1">
        <v>241.66667000000001</v>
      </c>
      <c r="F18" s="1">
        <v>2093.9499999999998</v>
      </c>
      <c r="G18" s="1">
        <v>315178.96000000002</v>
      </c>
      <c r="H18" s="1">
        <v>8454.26</v>
      </c>
      <c r="I18" s="1" t="s">
        <v>0</v>
      </c>
      <c r="J18" s="1" t="s">
        <v>0</v>
      </c>
    </row>
    <row r="19" spans="1:10" x14ac:dyDescent="0.35">
      <c r="A19" t="s">
        <v>1</v>
      </c>
      <c r="B19">
        <v>7405</v>
      </c>
      <c r="C19">
        <v>2015</v>
      </c>
      <c r="D19">
        <v>8</v>
      </c>
      <c r="E19" s="1">
        <v>147.79167000000001</v>
      </c>
      <c r="F19" s="1">
        <v>2871.02</v>
      </c>
      <c r="G19" s="1">
        <v>427692.59</v>
      </c>
      <c r="H19" s="1">
        <v>5334.03</v>
      </c>
      <c r="I19" s="1" t="s">
        <v>0</v>
      </c>
      <c r="J19" s="1" t="s">
        <v>0</v>
      </c>
    </row>
    <row r="20" spans="1:10" x14ac:dyDescent="0.35">
      <c r="A20" t="s">
        <v>1</v>
      </c>
      <c r="B20">
        <v>7405</v>
      </c>
      <c r="C20">
        <v>2015</v>
      </c>
      <c r="D20">
        <v>9</v>
      </c>
      <c r="E20" s="1">
        <v>384.46679999999998</v>
      </c>
      <c r="F20" s="1">
        <v>6460.27</v>
      </c>
      <c r="G20" s="1">
        <v>961548.42</v>
      </c>
      <c r="H20" s="1">
        <v>14767.12</v>
      </c>
      <c r="I20" s="1" t="s">
        <v>0</v>
      </c>
      <c r="J20" s="1" t="s">
        <v>0</v>
      </c>
    </row>
    <row r="21" spans="1:10" x14ac:dyDescent="0.35">
      <c r="A21" t="s">
        <v>1</v>
      </c>
      <c r="B21">
        <v>7405</v>
      </c>
      <c r="C21">
        <v>2015</v>
      </c>
      <c r="D21">
        <v>10</v>
      </c>
      <c r="E21" s="1">
        <v>367.79986000000002</v>
      </c>
      <c r="F21" s="1">
        <v>4085.8</v>
      </c>
      <c r="G21" s="1">
        <v>631372.56000000006</v>
      </c>
      <c r="H21" s="1">
        <v>13538.71</v>
      </c>
      <c r="I21" s="1" t="s">
        <v>0</v>
      </c>
      <c r="J21" s="1" t="s">
        <v>0</v>
      </c>
    </row>
    <row r="22" spans="1:10" x14ac:dyDescent="0.35">
      <c r="A22" t="s">
        <v>1</v>
      </c>
      <c r="B22">
        <v>7405</v>
      </c>
      <c r="C22">
        <v>2015</v>
      </c>
      <c r="D22">
        <v>11</v>
      </c>
      <c r="E22" s="1">
        <v>301.25833</v>
      </c>
      <c r="F22" s="1">
        <v>3332.05</v>
      </c>
      <c r="G22" s="1">
        <v>508384.43</v>
      </c>
      <c r="H22" s="1">
        <v>11682.31</v>
      </c>
      <c r="I22" s="1" t="s">
        <v>0</v>
      </c>
      <c r="J22" s="1" t="s">
        <v>0</v>
      </c>
    </row>
    <row r="23" spans="1:10" x14ac:dyDescent="0.35">
      <c r="A23" t="s">
        <v>1</v>
      </c>
      <c r="B23">
        <v>7405</v>
      </c>
      <c r="C23">
        <v>2015</v>
      </c>
      <c r="D23">
        <v>12</v>
      </c>
      <c r="E23" s="1">
        <v>197.65833000000001</v>
      </c>
      <c r="F23" s="1">
        <v>2949.42</v>
      </c>
      <c r="G23" s="1">
        <v>454911.3</v>
      </c>
      <c r="H23" s="1">
        <v>6231.55</v>
      </c>
      <c r="I23" s="1" t="s">
        <v>0</v>
      </c>
      <c r="J23" s="1" t="s">
        <v>0</v>
      </c>
    </row>
    <row r="24" spans="1:10" x14ac:dyDescent="0.35">
      <c r="A24" t="s">
        <v>1</v>
      </c>
      <c r="B24">
        <v>7405</v>
      </c>
      <c r="C24">
        <v>2016</v>
      </c>
      <c r="D24">
        <v>1</v>
      </c>
      <c r="E24" s="1">
        <v>387.68333999999999</v>
      </c>
      <c r="F24" s="1">
        <v>2981.44</v>
      </c>
      <c r="G24" s="1">
        <v>471675.96</v>
      </c>
      <c r="H24" s="1">
        <v>14036.28</v>
      </c>
      <c r="I24" s="1" t="s">
        <v>0</v>
      </c>
      <c r="J24" s="1" t="s">
        <v>0</v>
      </c>
    </row>
    <row r="25" spans="1:10" x14ac:dyDescent="0.35">
      <c r="A25" t="s">
        <v>1</v>
      </c>
      <c r="B25">
        <v>7405</v>
      </c>
      <c r="C25">
        <v>2016</v>
      </c>
      <c r="D25">
        <v>2</v>
      </c>
      <c r="E25" s="1">
        <v>484.48331999999999</v>
      </c>
      <c r="F25" s="1">
        <v>4718.03</v>
      </c>
      <c r="G25" s="1">
        <v>742339.77</v>
      </c>
      <c r="H25" s="1">
        <v>15945.73</v>
      </c>
      <c r="I25" s="1" t="s">
        <v>0</v>
      </c>
      <c r="J25" s="1" t="s">
        <v>0</v>
      </c>
    </row>
    <row r="26" spans="1:10" x14ac:dyDescent="0.35">
      <c r="A26" t="s">
        <v>1</v>
      </c>
      <c r="B26">
        <v>7405</v>
      </c>
      <c r="C26">
        <v>2016</v>
      </c>
      <c r="D26">
        <v>3</v>
      </c>
      <c r="E26" s="1">
        <v>356.75833</v>
      </c>
      <c r="F26" s="1">
        <v>2917.5</v>
      </c>
      <c r="G26" s="1">
        <v>476830.19</v>
      </c>
      <c r="H26" s="1">
        <v>13410.89</v>
      </c>
      <c r="I26" s="1" t="s">
        <v>0</v>
      </c>
      <c r="J26" s="1" t="s">
        <v>0</v>
      </c>
    </row>
    <row r="27" spans="1:10" x14ac:dyDescent="0.35">
      <c r="A27" t="s">
        <v>1</v>
      </c>
      <c r="B27">
        <v>7405</v>
      </c>
      <c r="C27">
        <v>2016</v>
      </c>
      <c r="D27">
        <v>4</v>
      </c>
      <c r="E27" s="1">
        <v>140.82499000000001</v>
      </c>
      <c r="F27" s="1">
        <v>1671.69</v>
      </c>
      <c r="G27" s="1">
        <v>274213.17</v>
      </c>
      <c r="H27" s="1">
        <v>4441.13</v>
      </c>
      <c r="I27" s="1" t="s">
        <v>0</v>
      </c>
      <c r="J27" s="1" t="s">
        <v>0</v>
      </c>
    </row>
    <row r="28" spans="1:10" x14ac:dyDescent="0.35">
      <c r="A28" t="s">
        <v>2</v>
      </c>
      <c r="B28">
        <v>7078</v>
      </c>
      <c r="C28">
        <v>2013</v>
      </c>
      <c r="D28">
        <v>7</v>
      </c>
      <c r="E28" s="1">
        <v>112.91513999999999</v>
      </c>
      <c r="F28" s="1">
        <v>3923.08</v>
      </c>
      <c r="G28" s="1">
        <v>590504.52</v>
      </c>
      <c r="H28" s="1">
        <v>0</v>
      </c>
      <c r="I28" s="1" t="s">
        <v>0</v>
      </c>
      <c r="J28" s="1" t="s">
        <v>0</v>
      </c>
    </row>
    <row r="29" spans="1:10" x14ac:dyDescent="0.35">
      <c r="A29" t="s">
        <v>2</v>
      </c>
      <c r="B29">
        <v>7078</v>
      </c>
      <c r="C29">
        <v>2013</v>
      </c>
      <c r="D29">
        <v>8</v>
      </c>
      <c r="E29" s="1">
        <v>586.71667000000002</v>
      </c>
      <c r="F29" s="1">
        <v>25496.07</v>
      </c>
      <c r="G29" s="1">
        <v>3871942.31</v>
      </c>
      <c r="H29" s="1">
        <v>520.01</v>
      </c>
      <c r="I29" s="1" t="s">
        <v>0</v>
      </c>
      <c r="J29" s="1" t="s">
        <v>0</v>
      </c>
    </row>
    <row r="30" spans="1:10" x14ac:dyDescent="0.35">
      <c r="A30" t="s">
        <v>2</v>
      </c>
      <c r="B30">
        <v>7078</v>
      </c>
      <c r="C30">
        <v>2013</v>
      </c>
      <c r="D30">
        <v>9</v>
      </c>
      <c r="E30" s="1">
        <v>538.91666999999995</v>
      </c>
      <c r="F30" s="1">
        <v>23775.08</v>
      </c>
      <c r="G30" s="1">
        <v>3661574</v>
      </c>
      <c r="H30" s="1">
        <v>1573.61</v>
      </c>
      <c r="I30" s="1" t="s">
        <v>0</v>
      </c>
      <c r="J30" s="1" t="s">
        <v>0</v>
      </c>
    </row>
    <row r="31" spans="1:10" x14ac:dyDescent="0.35">
      <c r="A31" t="s">
        <v>2</v>
      </c>
      <c r="B31">
        <v>7078</v>
      </c>
      <c r="C31">
        <v>2013</v>
      </c>
      <c r="D31">
        <v>10</v>
      </c>
      <c r="E31" s="1">
        <v>678.49991</v>
      </c>
      <c r="F31" s="1">
        <v>34114.5</v>
      </c>
      <c r="G31" s="1">
        <v>5272724.29</v>
      </c>
      <c r="H31" s="1">
        <v>1926.53</v>
      </c>
      <c r="I31" s="1" t="s">
        <v>0</v>
      </c>
      <c r="J31" s="1" t="s">
        <v>0</v>
      </c>
    </row>
    <row r="32" spans="1:10" x14ac:dyDescent="0.35">
      <c r="A32" t="s">
        <v>2</v>
      </c>
      <c r="B32">
        <v>7078</v>
      </c>
      <c r="C32">
        <v>2013</v>
      </c>
      <c r="D32">
        <v>11</v>
      </c>
      <c r="E32" s="1">
        <v>712</v>
      </c>
      <c r="F32" s="1">
        <v>35386.35</v>
      </c>
      <c r="G32" s="1">
        <v>5413486.1399999997</v>
      </c>
      <c r="H32" s="1">
        <v>3791.22</v>
      </c>
      <c r="I32" s="1" t="s">
        <v>0</v>
      </c>
      <c r="J32" s="1" t="s">
        <v>0</v>
      </c>
    </row>
    <row r="33" spans="1:10" x14ac:dyDescent="0.35">
      <c r="A33" t="s">
        <v>2</v>
      </c>
      <c r="B33">
        <v>7078</v>
      </c>
      <c r="C33">
        <v>2013</v>
      </c>
      <c r="D33">
        <v>12</v>
      </c>
      <c r="E33" s="1">
        <v>662.08335</v>
      </c>
      <c r="F33" s="1">
        <v>33405.75</v>
      </c>
      <c r="G33" s="1">
        <v>5190658.82</v>
      </c>
      <c r="H33" s="1">
        <v>4963.26</v>
      </c>
      <c r="I33" s="1" t="s">
        <v>0</v>
      </c>
      <c r="J33" s="1" t="s">
        <v>0</v>
      </c>
    </row>
    <row r="34" spans="1:10" x14ac:dyDescent="0.35">
      <c r="A34" t="s">
        <v>2</v>
      </c>
      <c r="B34">
        <v>7078</v>
      </c>
      <c r="C34">
        <v>2014</v>
      </c>
      <c r="D34">
        <v>1</v>
      </c>
      <c r="E34" s="1">
        <v>668.08333000000005</v>
      </c>
      <c r="F34" s="1">
        <v>34552.370000000003</v>
      </c>
      <c r="G34" s="1">
        <v>5193353.22</v>
      </c>
      <c r="H34" s="1">
        <v>4343.49</v>
      </c>
      <c r="I34" s="1" t="s">
        <v>0</v>
      </c>
      <c r="J34" s="1" t="s">
        <v>0</v>
      </c>
    </row>
    <row r="35" spans="1:10" x14ac:dyDescent="0.35">
      <c r="A35" t="s">
        <v>2</v>
      </c>
      <c r="B35">
        <v>7078</v>
      </c>
      <c r="C35">
        <v>2014</v>
      </c>
      <c r="D35">
        <v>2</v>
      </c>
      <c r="E35" s="1">
        <v>562.66665999999998</v>
      </c>
      <c r="F35" s="1">
        <v>28189.97</v>
      </c>
      <c r="G35" s="1">
        <v>4255282.68</v>
      </c>
      <c r="H35" s="1">
        <v>2841.37</v>
      </c>
      <c r="I35" s="1" t="s">
        <v>0</v>
      </c>
      <c r="J35" s="1" t="s">
        <v>0</v>
      </c>
    </row>
    <row r="36" spans="1:10" x14ac:dyDescent="0.35">
      <c r="A36" t="s">
        <v>2</v>
      </c>
      <c r="B36">
        <v>7078</v>
      </c>
      <c r="C36">
        <v>2014</v>
      </c>
      <c r="D36">
        <v>3</v>
      </c>
      <c r="E36" s="1">
        <v>655.49999000000003</v>
      </c>
      <c r="F36" s="1">
        <v>33290.79</v>
      </c>
      <c r="G36" s="1">
        <v>5039849.75</v>
      </c>
      <c r="H36" s="1">
        <v>3692.22</v>
      </c>
      <c r="I36" s="1" t="s">
        <v>0</v>
      </c>
      <c r="J36" s="1" t="s">
        <v>0</v>
      </c>
    </row>
    <row r="37" spans="1:10" x14ac:dyDescent="0.35">
      <c r="A37" t="s">
        <v>2</v>
      </c>
      <c r="B37">
        <v>7078</v>
      </c>
      <c r="C37">
        <v>2014</v>
      </c>
      <c r="D37">
        <v>4</v>
      </c>
      <c r="E37" s="1">
        <v>691.51684999999998</v>
      </c>
      <c r="F37" s="1">
        <v>35428.730000000003</v>
      </c>
      <c r="G37" s="1">
        <v>5301958.8</v>
      </c>
      <c r="H37" s="1">
        <v>4124.45</v>
      </c>
      <c r="I37" s="1" t="s">
        <v>0</v>
      </c>
      <c r="J37" s="1" t="s">
        <v>0</v>
      </c>
    </row>
    <row r="38" spans="1:10" x14ac:dyDescent="0.35">
      <c r="A38" t="s">
        <v>2</v>
      </c>
      <c r="B38">
        <v>7078</v>
      </c>
      <c r="C38">
        <v>2014</v>
      </c>
      <c r="D38">
        <v>5</v>
      </c>
      <c r="E38" s="1">
        <v>731.5</v>
      </c>
      <c r="F38" s="1">
        <v>34831.879999999997</v>
      </c>
      <c r="G38" s="1">
        <v>4902619.28</v>
      </c>
      <c r="H38" s="1">
        <v>5017.47</v>
      </c>
      <c r="I38" s="1" t="s">
        <v>0</v>
      </c>
      <c r="J38" s="1" t="s">
        <v>0</v>
      </c>
    </row>
    <row r="39" spans="1:10" x14ac:dyDescent="0.35">
      <c r="A39" t="s">
        <v>2</v>
      </c>
      <c r="B39">
        <v>7078</v>
      </c>
      <c r="C39">
        <v>2014</v>
      </c>
      <c r="D39">
        <v>6</v>
      </c>
      <c r="E39" s="1">
        <v>709.33333000000005</v>
      </c>
      <c r="F39" s="1">
        <v>33898.639999999999</v>
      </c>
      <c r="G39" s="1">
        <v>4990684.5199999996</v>
      </c>
      <c r="H39" s="1">
        <v>6083.59</v>
      </c>
      <c r="I39" s="1" t="s">
        <v>0</v>
      </c>
      <c r="J39" s="1" t="s">
        <v>0</v>
      </c>
    </row>
    <row r="40" spans="1:10" x14ac:dyDescent="0.35">
      <c r="A40" t="s">
        <v>2</v>
      </c>
      <c r="B40">
        <v>7078</v>
      </c>
      <c r="C40">
        <v>2014</v>
      </c>
      <c r="D40">
        <v>7</v>
      </c>
      <c r="E40" s="1">
        <v>742.66666999999995</v>
      </c>
      <c r="F40" s="1">
        <v>33760.33</v>
      </c>
      <c r="G40" s="1">
        <v>5035917.29</v>
      </c>
      <c r="H40" s="1">
        <v>6800.85</v>
      </c>
      <c r="I40" s="1" t="s">
        <v>0</v>
      </c>
      <c r="J40" s="1" t="s">
        <v>0</v>
      </c>
    </row>
    <row r="41" spans="1:10" x14ac:dyDescent="0.35">
      <c r="A41" t="s">
        <v>2</v>
      </c>
      <c r="B41">
        <v>7078</v>
      </c>
      <c r="C41">
        <v>2014</v>
      </c>
      <c r="D41">
        <v>8</v>
      </c>
      <c r="E41" s="1">
        <v>599.11668999999995</v>
      </c>
      <c r="F41" s="1">
        <v>26037.54</v>
      </c>
      <c r="G41" s="1">
        <v>4033770.42</v>
      </c>
      <c r="H41" s="1">
        <v>6076.52</v>
      </c>
      <c r="I41" s="1" t="s">
        <v>0</v>
      </c>
      <c r="J41" s="1" t="s">
        <v>0</v>
      </c>
    </row>
    <row r="42" spans="1:10" x14ac:dyDescent="0.35">
      <c r="A42" t="s">
        <v>2</v>
      </c>
      <c r="B42">
        <v>7078</v>
      </c>
      <c r="C42">
        <v>2014</v>
      </c>
      <c r="D42">
        <v>9</v>
      </c>
      <c r="E42" s="1">
        <v>690.66666999999995</v>
      </c>
      <c r="F42" s="1">
        <v>33221.64</v>
      </c>
      <c r="G42" s="1">
        <v>5220328.68</v>
      </c>
      <c r="H42" s="1">
        <v>8349.0499999999993</v>
      </c>
      <c r="I42" s="1" t="s">
        <v>0</v>
      </c>
      <c r="J42" s="1" t="s">
        <v>0</v>
      </c>
    </row>
    <row r="43" spans="1:10" x14ac:dyDescent="0.35">
      <c r="A43" t="s">
        <v>2</v>
      </c>
      <c r="B43">
        <v>7078</v>
      </c>
      <c r="C43">
        <v>2014</v>
      </c>
      <c r="D43">
        <v>10</v>
      </c>
      <c r="E43" s="1">
        <v>745</v>
      </c>
      <c r="F43" s="1">
        <v>33851.72</v>
      </c>
      <c r="G43" s="1">
        <v>5237208.3</v>
      </c>
      <c r="H43" s="1">
        <v>10287.9</v>
      </c>
      <c r="I43" s="1" t="s">
        <v>0</v>
      </c>
      <c r="J43" s="1" t="s">
        <v>0</v>
      </c>
    </row>
    <row r="44" spans="1:10" x14ac:dyDescent="0.35">
      <c r="A44" t="s">
        <v>2</v>
      </c>
      <c r="B44">
        <v>7078</v>
      </c>
      <c r="C44">
        <v>2014</v>
      </c>
      <c r="D44">
        <v>11</v>
      </c>
      <c r="E44" s="1">
        <v>692.39180999999996</v>
      </c>
      <c r="F44" s="1">
        <v>26611.5</v>
      </c>
      <c r="G44" s="1">
        <v>4153116.29</v>
      </c>
      <c r="H44" s="1">
        <v>9403.58</v>
      </c>
      <c r="I44" s="1" t="s">
        <v>0</v>
      </c>
      <c r="J44" s="1" t="s">
        <v>0</v>
      </c>
    </row>
    <row r="45" spans="1:10" x14ac:dyDescent="0.35">
      <c r="A45" t="s">
        <v>2</v>
      </c>
      <c r="B45">
        <v>7078</v>
      </c>
      <c r="C45">
        <v>2014</v>
      </c>
      <c r="D45">
        <v>12</v>
      </c>
      <c r="E45" s="1">
        <v>733.85820000000001</v>
      </c>
      <c r="F45" s="1">
        <v>8547.92</v>
      </c>
      <c r="G45" s="1">
        <v>1413111.64</v>
      </c>
      <c r="H45" s="1">
        <v>3079.05</v>
      </c>
      <c r="I45" s="1" t="s">
        <v>0</v>
      </c>
      <c r="J45" s="1" t="s">
        <v>0</v>
      </c>
    </row>
    <row r="46" spans="1:10" x14ac:dyDescent="0.35">
      <c r="A46" t="s">
        <v>2</v>
      </c>
      <c r="B46">
        <v>7078</v>
      </c>
      <c r="C46">
        <v>2015</v>
      </c>
      <c r="D46">
        <v>1</v>
      </c>
      <c r="E46" s="1">
        <v>708.33333000000005</v>
      </c>
      <c r="F46" s="1">
        <v>29561.8</v>
      </c>
      <c r="G46" s="1">
        <v>4358978.95</v>
      </c>
      <c r="H46" s="1">
        <v>13860.6</v>
      </c>
      <c r="I46" s="1" t="s">
        <v>0</v>
      </c>
      <c r="J46" s="1" t="s">
        <v>0</v>
      </c>
    </row>
    <row r="47" spans="1:10" x14ac:dyDescent="0.35">
      <c r="A47" t="s">
        <v>2</v>
      </c>
      <c r="B47">
        <v>7078</v>
      </c>
      <c r="C47">
        <v>2015</v>
      </c>
      <c r="D47">
        <v>2</v>
      </c>
      <c r="E47" s="1">
        <v>632.16666999999995</v>
      </c>
      <c r="F47" s="1">
        <v>25347.22</v>
      </c>
      <c r="G47" s="1">
        <v>3836073.69</v>
      </c>
      <c r="H47" s="1">
        <v>14061.01</v>
      </c>
      <c r="I47" s="1" t="s">
        <v>0</v>
      </c>
      <c r="J47" s="1" t="s">
        <v>0</v>
      </c>
    </row>
    <row r="48" spans="1:10" x14ac:dyDescent="0.35">
      <c r="A48" t="s">
        <v>2</v>
      </c>
      <c r="B48">
        <v>7078</v>
      </c>
      <c r="C48">
        <v>2015</v>
      </c>
      <c r="D48">
        <v>3</v>
      </c>
      <c r="E48" s="1">
        <v>743.83333000000005</v>
      </c>
      <c r="F48" s="1">
        <v>44316.19</v>
      </c>
      <c r="G48" s="1">
        <v>6516700.4900000002</v>
      </c>
      <c r="H48" s="1">
        <v>19387.3</v>
      </c>
      <c r="I48" s="1" t="s">
        <v>0</v>
      </c>
      <c r="J48" s="1" t="s">
        <v>0</v>
      </c>
    </row>
    <row r="49" spans="1:10" x14ac:dyDescent="0.35">
      <c r="A49" t="s">
        <v>2</v>
      </c>
      <c r="B49">
        <v>7078</v>
      </c>
      <c r="C49">
        <v>2015</v>
      </c>
      <c r="D49">
        <v>4</v>
      </c>
      <c r="E49" s="1">
        <v>720</v>
      </c>
      <c r="F49" s="1">
        <v>54555.76</v>
      </c>
      <c r="G49" s="1">
        <v>7956467.4900000002</v>
      </c>
      <c r="H49" s="1">
        <v>23839.72</v>
      </c>
      <c r="I49" s="1" t="s">
        <v>0</v>
      </c>
      <c r="J49" s="1" t="s">
        <v>0</v>
      </c>
    </row>
    <row r="50" spans="1:10" x14ac:dyDescent="0.35">
      <c r="A50" t="s">
        <v>2</v>
      </c>
      <c r="B50">
        <v>7078</v>
      </c>
      <c r="C50">
        <v>2015</v>
      </c>
      <c r="D50">
        <v>5</v>
      </c>
      <c r="E50" s="1">
        <v>744</v>
      </c>
      <c r="F50" s="1">
        <v>55029.22</v>
      </c>
      <c r="G50" s="1">
        <v>8027510.4400000004</v>
      </c>
      <c r="H50" s="1">
        <v>24425.53</v>
      </c>
      <c r="I50" s="1" t="s">
        <v>0</v>
      </c>
      <c r="J50" s="1" t="s">
        <v>0</v>
      </c>
    </row>
    <row r="51" spans="1:10" x14ac:dyDescent="0.35">
      <c r="A51" t="s">
        <v>2</v>
      </c>
      <c r="B51">
        <v>7078</v>
      </c>
      <c r="C51">
        <v>2015</v>
      </c>
      <c r="D51">
        <v>6</v>
      </c>
      <c r="E51" s="1">
        <v>718.81667000000004</v>
      </c>
      <c r="F51" s="1">
        <v>48231.1</v>
      </c>
      <c r="G51" s="1">
        <v>7065851.5899999999</v>
      </c>
      <c r="H51" s="1">
        <v>22891.62</v>
      </c>
      <c r="I51" s="1" t="s">
        <v>0</v>
      </c>
      <c r="J51" s="1" t="s">
        <v>0</v>
      </c>
    </row>
    <row r="52" spans="1:10" x14ac:dyDescent="0.35">
      <c r="A52" t="s">
        <v>2</v>
      </c>
      <c r="B52">
        <v>7078</v>
      </c>
      <c r="C52">
        <v>2015</v>
      </c>
      <c r="D52">
        <v>7</v>
      </c>
      <c r="E52" s="1">
        <v>744</v>
      </c>
      <c r="F52" s="1">
        <v>43784.66</v>
      </c>
      <c r="G52" s="1">
        <v>6508853.29</v>
      </c>
      <c r="H52" s="1">
        <v>36195.93</v>
      </c>
      <c r="I52" s="1" t="s">
        <v>0</v>
      </c>
      <c r="J52" s="1" t="s">
        <v>0</v>
      </c>
    </row>
    <row r="53" spans="1:10" x14ac:dyDescent="0.35">
      <c r="A53" t="s">
        <v>2</v>
      </c>
      <c r="B53">
        <v>7078</v>
      </c>
      <c r="C53">
        <v>2015</v>
      </c>
      <c r="D53">
        <v>8</v>
      </c>
      <c r="E53" s="1">
        <v>632.01680999999996</v>
      </c>
      <c r="F53" s="1">
        <v>31498.15</v>
      </c>
      <c r="G53" s="1">
        <v>4769902.18</v>
      </c>
      <c r="H53" s="1">
        <v>31870.44</v>
      </c>
      <c r="I53" s="1" t="s">
        <v>0</v>
      </c>
      <c r="J53" s="1" t="s">
        <v>0</v>
      </c>
    </row>
    <row r="54" spans="1:10" x14ac:dyDescent="0.35">
      <c r="A54" t="s">
        <v>2</v>
      </c>
      <c r="B54">
        <v>7078</v>
      </c>
      <c r="C54">
        <v>2015</v>
      </c>
      <c r="D54">
        <v>9</v>
      </c>
      <c r="E54" s="1">
        <v>718.72457999999995</v>
      </c>
      <c r="F54" s="1">
        <v>31424.59</v>
      </c>
      <c r="G54" s="1">
        <v>4748109.8600000003</v>
      </c>
      <c r="H54" s="1">
        <v>37411.85</v>
      </c>
      <c r="I54" s="1" t="s">
        <v>0</v>
      </c>
      <c r="J54" s="1" t="s">
        <v>0</v>
      </c>
    </row>
    <row r="55" spans="1:10" x14ac:dyDescent="0.35">
      <c r="A55" t="s">
        <v>2</v>
      </c>
      <c r="B55">
        <v>7078</v>
      </c>
      <c r="C55">
        <v>2015</v>
      </c>
      <c r="D55">
        <v>10</v>
      </c>
      <c r="E55" s="1">
        <v>626.89180999999996</v>
      </c>
      <c r="F55" s="1">
        <v>29724.78</v>
      </c>
      <c r="G55" s="1">
        <v>4501570.0199999996</v>
      </c>
      <c r="H55" s="1">
        <v>38022.559999999998</v>
      </c>
      <c r="I55" s="1" t="s">
        <v>0</v>
      </c>
      <c r="J55" s="1" t="s">
        <v>0</v>
      </c>
    </row>
    <row r="56" spans="1:10" x14ac:dyDescent="0.35">
      <c r="A56" t="s">
        <v>2</v>
      </c>
      <c r="B56">
        <v>7078</v>
      </c>
      <c r="C56">
        <v>2015</v>
      </c>
      <c r="D56">
        <v>11</v>
      </c>
      <c r="E56" s="1">
        <v>671.30820000000006</v>
      </c>
      <c r="F56" s="1">
        <v>36410.230000000003</v>
      </c>
      <c r="G56" s="1">
        <v>5558573.3499999996</v>
      </c>
      <c r="H56" s="1">
        <v>57058.61</v>
      </c>
      <c r="I56" s="1" t="s">
        <v>0</v>
      </c>
      <c r="J56" s="1" t="s">
        <v>0</v>
      </c>
    </row>
    <row r="57" spans="1:10" x14ac:dyDescent="0.35">
      <c r="A57" t="s">
        <v>2</v>
      </c>
      <c r="B57">
        <v>7078</v>
      </c>
      <c r="C57">
        <v>2015</v>
      </c>
      <c r="D57">
        <v>12</v>
      </c>
      <c r="E57" s="1">
        <v>740.16666999999995</v>
      </c>
      <c r="F57" s="1">
        <v>35933.9</v>
      </c>
      <c r="G57" s="1">
        <v>5504665.46</v>
      </c>
      <c r="H57" s="1">
        <v>62976.28</v>
      </c>
      <c r="I57" s="1" t="s">
        <v>0</v>
      </c>
      <c r="J57" s="1" t="s">
        <v>0</v>
      </c>
    </row>
    <row r="58" spans="1:10" x14ac:dyDescent="0.35">
      <c r="A58" t="s">
        <v>2</v>
      </c>
      <c r="B58">
        <v>7078</v>
      </c>
      <c r="C58">
        <v>2016</v>
      </c>
      <c r="D58">
        <v>1</v>
      </c>
      <c r="E58" s="1">
        <v>736.49999000000003</v>
      </c>
      <c r="F58" s="1">
        <v>31603.26</v>
      </c>
      <c r="G58" s="1">
        <v>4949940.78</v>
      </c>
      <c r="H58" s="1">
        <v>67980.66</v>
      </c>
      <c r="I58" s="1" t="s">
        <v>0</v>
      </c>
      <c r="J58" s="1" t="s">
        <v>0</v>
      </c>
    </row>
    <row r="59" spans="1:10" x14ac:dyDescent="0.35">
      <c r="A59" t="s">
        <v>2</v>
      </c>
      <c r="B59">
        <v>7078</v>
      </c>
      <c r="C59">
        <v>2016</v>
      </c>
      <c r="D59">
        <v>2</v>
      </c>
      <c r="E59" s="1">
        <v>695.58333000000005</v>
      </c>
      <c r="F59" s="1">
        <v>25954.57</v>
      </c>
      <c r="G59" s="1">
        <v>4093286.56</v>
      </c>
      <c r="H59" s="1">
        <v>66610.490000000005</v>
      </c>
      <c r="I59" s="1" t="s">
        <v>0</v>
      </c>
      <c r="J59" s="1" t="s">
        <v>0</v>
      </c>
    </row>
    <row r="60" spans="1:10" x14ac:dyDescent="0.35">
      <c r="A60" t="s">
        <v>2</v>
      </c>
      <c r="B60">
        <v>7078</v>
      </c>
      <c r="C60">
        <v>2016</v>
      </c>
      <c r="D60">
        <v>3</v>
      </c>
      <c r="E60" s="1">
        <v>743</v>
      </c>
      <c r="F60" s="1">
        <v>25023.66</v>
      </c>
      <c r="G60" s="1">
        <v>4032038.1</v>
      </c>
      <c r="H60" s="1">
        <v>76636.960000000006</v>
      </c>
      <c r="I60" s="1" t="s">
        <v>0</v>
      </c>
      <c r="J60" s="1" t="s">
        <v>0</v>
      </c>
    </row>
    <row r="61" spans="1:10" x14ac:dyDescent="0.35">
      <c r="A61" t="s">
        <v>2</v>
      </c>
      <c r="B61">
        <v>7078</v>
      </c>
      <c r="C61">
        <v>2016</v>
      </c>
      <c r="D61">
        <v>4</v>
      </c>
      <c r="E61" s="1">
        <v>579.08331999999996</v>
      </c>
      <c r="F61" s="1">
        <v>13429</v>
      </c>
      <c r="G61" s="1">
        <v>2194427.0499999998</v>
      </c>
      <c r="H61" s="1">
        <v>57931.66</v>
      </c>
      <c r="I61" s="1" t="s">
        <v>0</v>
      </c>
      <c r="J61" s="1" t="s">
        <v>0</v>
      </c>
    </row>
    <row r="62" spans="1:10" x14ac:dyDescent="0.35">
      <c r="A62" t="s">
        <v>2</v>
      </c>
      <c r="B62">
        <v>7078</v>
      </c>
      <c r="C62">
        <v>2016</v>
      </c>
      <c r="D62">
        <v>5</v>
      </c>
      <c r="E62" s="1">
        <v>744</v>
      </c>
      <c r="F62" s="1">
        <v>15528.75</v>
      </c>
      <c r="G62" s="1">
        <v>2450713.77</v>
      </c>
      <c r="H62" s="1">
        <v>73445.23</v>
      </c>
      <c r="I62" s="1" t="s">
        <v>0</v>
      </c>
      <c r="J62" s="1" t="s">
        <v>0</v>
      </c>
    </row>
    <row r="63" spans="1:10" x14ac:dyDescent="0.35">
      <c r="A63" t="s">
        <v>2</v>
      </c>
      <c r="B63">
        <v>7078</v>
      </c>
      <c r="C63">
        <v>2016</v>
      </c>
      <c r="D63">
        <v>6</v>
      </c>
      <c r="E63" s="1">
        <v>718.41666999999995</v>
      </c>
      <c r="F63" s="1">
        <v>14590.61</v>
      </c>
      <c r="G63" s="1">
        <v>2349131.2200000002</v>
      </c>
      <c r="H63" s="1">
        <v>71699.350000000006</v>
      </c>
      <c r="I63" s="1" t="s">
        <v>0</v>
      </c>
      <c r="J63" s="1" t="s">
        <v>0</v>
      </c>
    </row>
    <row r="64" spans="1:10" x14ac:dyDescent="0.35">
      <c r="A64" t="s">
        <v>2</v>
      </c>
      <c r="B64">
        <v>7078</v>
      </c>
      <c r="C64">
        <v>2016</v>
      </c>
      <c r="D64">
        <v>7</v>
      </c>
      <c r="E64" s="1">
        <v>740.00100999999995</v>
      </c>
      <c r="F64" s="1">
        <v>14384.88</v>
      </c>
      <c r="G64" s="1">
        <v>2309447.4700000002</v>
      </c>
      <c r="H64" s="1">
        <v>77084.72</v>
      </c>
      <c r="I64" s="1" t="s">
        <v>0</v>
      </c>
      <c r="J64" s="1" t="s">
        <v>0</v>
      </c>
    </row>
    <row r="65" spans="1:10" x14ac:dyDescent="0.35">
      <c r="A65" t="s">
        <v>2</v>
      </c>
      <c r="B65">
        <v>7078</v>
      </c>
      <c r="C65">
        <v>2016</v>
      </c>
      <c r="D65">
        <v>8</v>
      </c>
      <c r="E65" s="1">
        <v>743.66666999999995</v>
      </c>
      <c r="F65" s="1">
        <v>14583.73</v>
      </c>
      <c r="G65" s="1">
        <v>2341371.5499999998</v>
      </c>
      <c r="H65" s="1">
        <v>87762.19</v>
      </c>
      <c r="I65" s="1" t="s">
        <v>0</v>
      </c>
      <c r="J65" s="1" t="s">
        <v>0</v>
      </c>
    </row>
    <row r="66" spans="1:10" x14ac:dyDescent="0.35">
      <c r="A66" t="s">
        <v>2</v>
      </c>
      <c r="B66">
        <v>7078</v>
      </c>
      <c r="C66">
        <v>2016</v>
      </c>
      <c r="D66">
        <v>9</v>
      </c>
      <c r="E66" s="1">
        <v>392.27514000000002</v>
      </c>
      <c r="F66" s="1">
        <v>8609.18</v>
      </c>
      <c r="G66" s="1">
        <v>1458816.35</v>
      </c>
      <c r="H66" s="1">
        <v>46779.39</v>
      </c>
      <c r="I66" s="1" t="s">
        <v>0</v>
      </c>
      <c r="J66" s="1" t="s">
        <v>0</v>
      </c>
    </row>
    <row r="67" spans="1:10" x14ac:dyDescent="0.35">
      <c r="A67" t="s">
        <v>3</v>
      </c>
      <c r="B67">
        <v>5599</v>
      </c>
      <c r="C67">
        <v>2008</v>
      </c>
      <c r="D67">
        <v>2</v>
      </c>
      <c r="E67" s="1">
        <v>406.62499000000003</v>
      </c>
      <c r="F67" s="1">
        <v>49091.06</v>
      </c>
      <c r="G67" s="1">
        <v>7068009.29</v>
      </c>
      <c r="H67" s="1">
        <v>412.61</v>
      </c>
      <c r="I67" s="1" t="s">
        <v>0</v>
      </c>
      <c r="J67" s="1" t="s">
        <v>0</v>
      </c>
    </row>
    <row r="68" spans="1:10" x14ac:dyDescent="0.35">
      <c r="A68" t="s">
        <v>3</v>
      </c>
      <c r="B68">
        <v>5599</v>
      </c>
      <c r="C68">
        <v>2008</v>
      </c>
      <c r="D68">
        <v>3</v>
      </c>
      <c r="E68" s="1">
        <v>655.10834</v>
      </c>
      <c r="F68" s="1">
        <v>83361.259999999995</v>
      </c>
      <c r="G68" s="1">
        <v>12191170.91</v>
      </c>
      <c r="H68" s="1">
        <v>27.42</v>
      </c>
      <c r="I68" s="1" t="s">
        <v>0</v>
      </c>
      <c r="J68" s="1" t="s">
        <v>0</v>
      </c>
    </row>
    <row r="69" spans="1:10" x14ac:dyDescent="0.35">
      <c r="A69" t="s">
        <v>3</v>
      </c>
      <c r="B69">
        <v>5599</v>
      </c>
      <c r="C69">
        <v>2008</v>
      </c>
      <c r="D69">
        <v>4</v>
      </c>
      <c r="E69" s="1">
        <v>613.64666</v>
      </c>
      <c r="F69" s="1">
        <v>74532.45</v>
      </c>
      <c r="G69" s="1">
        <v>11506440.74</v>
      </c>
      <c r="H69" s="1">
        <v>482.05</v>
      </c>
      <c r="I69" s="1" t="s">
        <v>0</v>
      </c>
      <c r="J69" s="1" t="s">
        <v>0</v>
      </c>
    </row>
    <row r="70" spans="1:10" x14ac:dyDescent="0.35">
      <c r="A70" t="s">
        <v>3</v>
      </c>
      <c r="B70">
        <v>5599</v>
      </c>
      <c r="C70">
        <v>2008</v>
      </c>
      <c r="D70">
        <v>5</v>
      </c>
      <c r="E70" s="1">
        <v>716.19167000000004</v>
      </c>
      <c r="F70" s="1">
        <v>125478.56</v>
      </c>
      <c r="G70" s="1">
        <v>19091871.52</v>
      </c>
      <c r="H70" s="1">
        <v>16280.12</v>
      </c>
      <c r="I70" s="1" t="s">
        <v>0</v>
      </c>
      <c r="J70" s="1" t="s">
        <v>0</v>
      </c>
    </row>
    <row r="71" spans="1:10" x14ac:dyDescent="0.35">
      <c r="A71" t="s">
        <v>3</v>
      </c>
      <c r="B71">
        <v>5599</v>
      </c>
      <c r="C71">
        <v>2008</v>
      </c>
      <c r="D71">
        <v>6</v>
      </c>
      <c r="E71" s="1">
        <v>675.91669000000002</v>
      </c>
      <c r="F71" s="1">
        <v>143786.85</v>
      </c>
      <c r="G71" s="1">
        <v>21512333.93</v>
      </c>
      <c r="H71" s="1">
        <v>474.37</v>
      </c>
      <c r="I71" s="1" t="s">
        <v>0</v>
      </c>
      <c r="J71" s="1" t="s">
        <v>0</v>
      </c>
    </row>
    <row r="72" spans="1:10" x14ac:dyDescent="0.35">
      <c r="A72" t="s">
        <v>3</v>
      </c>
      <c r="B72">
        <v>5599</v>
      </c>
      <c r="C72">
        <v>2008</v>
      </c>
      <c r="D72">
        <v>7</v>
      </c>
      <c r="E72" s="1">
        <v>710.74165000000005</v>
      </c>
      <c r="F72" s="1">
        <v>114994.61</v>
      </c>
      <c r="G72" s="1">
        <v>17116441.780000001</v>
      </c>
      <c r="H72" s="1">
        <v>290.02</v>
      </c>
      <c r="I72" s="1" t="s">
        <v>0</v>
      </c>
      <c r="J72" s="1" t="s">
        <v>0</v>
      </c>
    </row>
    <row r="73" spans="1:10" x14ac:dyDescent="0.35">
      <c r="A73" t="s">
        <v>3</v>
      </c>
      <c r="B73">
        <v>5599</v>
      </c>
      <c r="C73">
        <v>2008</v>
      </c>
      <c r="D73">
        <v>8</v>
      </c>
      <c r="E73" s="1">
        <v>672.83334000000002</v>
      </c>
      <c r="F73" s="1">
        <v>97822.46</v>
      </c>
      <c r="G73" s="1">
        <v>14143008.24</v>
      </c>
      <c r="H73" s="1">
        <v>354.18</v>
      </c>
      <c r="I73" s="1" t="s">
        <v>0</v>
      </c>
      <c r="J73" s="1" t="s">
        <v>0</v>
      </c>
    </row>
    <row r="74" spans="1:10" x14ac:dyDescent="0.35">
      <c r="A74" t="s">
        <v>3</v>
      </c>
      <c r="B74">
        <v>5599</v>
      </c>
      <c r="C74">
        <v>2008</v>
      </c>
      <c r="D74">
        <v>9</v>
      </c>
      <c r="E74" s="1">
        <v>567.97499000000005</v>
      </c>
      <c r="F74" s="1">
        <v>77666.95</v>
      </c>
      <c r="G74" s="1">
        <v>11185944.41</v>
      </c>
      <c r="H74" s="1">
        <v>188.39</v>
      </c>
      <c r="I74" s="1" t="s">
        <v>0</v>
      </c>
      <c r="J74" s="1" t="s">
        <v>0</v>
      </c>
    </row>
    <row r="75" spans="1:10" x14ac:dyDescent="0.35">
      <c r="A75" t="s">
        <v>3</v>
      </c>
      <c r="B75">
        <v>5599</v>
      </c>
      <c r="C75">
        <v>2008</v>
      </c>
      <c r="D75">
        <v>10</v>
      </c>
      <c r="E75" s="1">
        <v>737.50000999999997</v>
      </c>
      <c r="F75" s="1">
        <v>94357.23</v>
      </c>
      <c r="G75" s="1">
        <v>13430833.949999999</v>
      </c>
      <c r="H75" s="1">
        <v>624.04999999999995</v>
      </c>
      <c r="I75" s="1" t="s">
        <v>0</v>
      </c>
      <c r="J75" s="1" t="s">
        <v>0</v>
      </c>
    </row>
    <row r="76" spans="1:10" x14ac:dyDescent="0.35">
      <c r="A76" t="s">
        <v>3</v>
      </c>
      <c r="B76">
        <v>5599</v>
      </c>
      <c r="C76">
        <v>2008</v>
      </c>
      <c r="D76">
        <v>11</v>
      </c>
      <c r="E76" s="1">
        <v>712.66666999999995</v>
      </c>
      <c r="F76" s="1">
        <v>145915.56</v>
      </c>
      <c r="G76" s="1">
        <v>20837122.260000002</v>
      </c>
      <c r="H76" s="1">
        <v>2390.31</v>
      </c>
      <c r="I76" s="1" t="s">
        <v>0</v>
      </c>
      <c r="J76" s="1" t="s">
        <v>0</v>
      </c>
    </row>
    <row r="77" spans="1:10" x14ac:dyDescent="0.35">
      <c r="A77" t="s">
        <v>3</v>
      </c>
      <c r="B77">
        <v>5599</v>
      </c>
      <c r="C77">
        <v>2008</v>
      </c>
      <c r="D77">
        <v>12</v>
      </c>
      <c r="E77" s="1">
        <v>744</v>
      </c>
      <c r="F77" s="1">
        <v>166439.67000000001</v>
      </c>
      <c r="G77" s="1">
        <v>24106361.739999998</v>
      </c>
      <c r="H77" s="1">
        <v>1003.31</v>
      </c>
      <c r="I77" s="1" t="s">
        <v>0</v>
      </c>
      <c r="J77" s="1" t="s">
        <v>0</v>
      </c>
    </row>
    <row r="78" spans="1:10" x14ac:dyDescent="0.35">
      <c r="A78" t="s">
        <v>3</v>
      </c>
      <c r="B78">
        <v>5599</v>
      </c>
      <c r="C78">
        <v>2009</v>
      </c>
      <c r="D78">
        <v>1</v>
      </c>
      <c r="E78" s="1">
        <v>740.83331999999996</v>
      </c>
      <c r="F78" s="1">
        <v>153677.16</v>
      </c>
      <c r="G78" s="1">
        <v>22255224.02</v>
      </c>
      <c r="H78" s="1">
        <v>389.76</v>
      </c>
      <c r="I78" s="1" t="s">
        <v>0</v>
      </c>
      <c r="J78" s="1" t="s">
        <v>0</v>
      </c>
    </row>
    <row r="79" spans="1:10" x14ac:dyDescent="0.35">
      <c r="A79" t="s">
        <v>3</v>
      </c>
      <c r="B79">
        <v>5599</v>
      </c>
      <c r="C79">
        <v>2009</v>
      </c>
      <c r="D79">
        <v>2</v>
      </c>
      <c r="E79" s="1">
        <v>656.30834000000004</v>
      </c>
      <c r="F79" s="1">
        <v>121905.01</v>
      </c>
      <c r="G79" s="1">
        <v>17427051.539999999</v>
      </c>
      <c r="H79" s="1">
        <v>0</v>
      </c>
      <c r="I79" s="1" t="s">
        <v>0</v>
      </c>
      <c r="J79" s="1" t="s">
        <v>0</v>
      </c>
    </row>
    <row r="80" spans="1:10" x14ac:dyDescent="0.35">
      <c r="A80" t="s">
        <v>3</v>
      </c>
      <c r="B80">
        <v>5599</v>
      </c>
      <c r="C80">
        <v>2009</v>
      </c>
      <c r="D80">
        <v>3</v>
      </c>
      <c r="E80" s="1">
        <v>506.33334000000002</v>
      </c>
      <c r="F80" s="1">
        <v>92958.71</v>
      </c>
      <c r="G80" s="1">
        <v>13123546.99</v>
      </c>
      <c r="H80" s="1">
        <v>0</v>
      </c>
      <c r="I80" s="1" t="s">
        <v>0</v>
      </c>
      <c r="J80" s="1" t="s">
        <v>0</v>
      </c>
    </row>
    <row r="81" spans="1:10" x14ac:dyDescent="0.35">
      <c r="A81" t="s">
        <v>3</v>
      </c>
      <c r="B81">
        <v>5599</v>
      </c>
      <c r="C81">
        <v>2009</v>
      </c>
      <c r="D81">
        <v>4</v>
      </c>
      <c r="E81" s="1">
        <v>719.16666999999995</v>
      </c>
      <c r="F81" s="1">
        <v>150955.68</v>
      </c>
      <c r="G81" s="1">
        <v>20931107.809999999</v>
      </c>
      <c r="H81" s="1">
        <v>1246.29</v>
      </c>
      <c r="I81" s="1" t="s">
        <v>0</v>
      </c>
      <c r="J81" s="1" t="s">
        <v>0</v>
      </c>
    </row>
    <row r="82" spans="1:10" x14ac:dyDescent="0.35">
      <c r="A82" t="s">
        <v>3</v>
      </c>
      <c r="B82">
        <v>5599</v>
      </c>
      <c r="C82">
        <v>2009</v>
      </c>
      <c r="D82">
        <v>5</v>
      </c>
      <c r="E82" s="1">
        <v>695.16665999999998</v>
      </c>
      <c r="F82" s="1">
        <v>141039.01</v>
      </c>
      <c r="G82" s="1">
        <v>19366853.43</v>
      </c>
      <c r="H82" s="1">
        <v>3106.49</v>
      </c>
      <c r="I82" s="1" t="s">
        <v>0</v>
      </c>
      <c r="J82" s="1" t="s">
        <v>0</v>
      </c>
    </row>
    <row r="83" spans="1:10" x14ac:dyDescent="0.35">
      <c r="A83" t="s">
        <v>3</v>
      </c>
      <c r="B83">
        <v>5599</v>
      </c>
      <c r="C83">
        <v>2009</v>
      </c>
      <c r="D83">
        <v>6</v>
      </c>
      <c r="E83" s="1">
        <v>715.31665999999996</v>
      </c>
      <c r="F83" s="1">
        <v>132429.71</v>
      </c>
      <c r="G83" s="1">
        <v>17787475.649999999</v>
      </c>
      <c r="H83" s="1">
        <v>2658.63</v>
      </c>
      <c r="I83" s="1" t="s">
        <v>0</v>
      </c>
      <c r="J83" s="1" t="s">
        <v>0</v>
      </c>
    </row>
    <row r="84" spans="1:10" x14ac:dyDescent="0.35">
      <c r="A84" t="s">
        <v>3</v>
      </c>
      <c r="B84">
        <v>5599</v>
      </c>
      <c r="C84">
        <v>2009</v>
      </c>
      <c r="D84">
        <v>7</v>
      </c>
      <c r="E84" s="1">
        <v>742.16665999999998</v>
      </c>
      <c r="F84" s="1">
        <v>106105.25</v>
      </c>
      <c r="G84" s="1">
        <v>14721967.199999999</v>
      </c>
      <c r="H84" s="1">
        <v>3289.44</v>
      </c>
      <c r="I84" s="1" t="s">
        <v>0</v>
      </c>
      <c r="J84" s="1" t="s">
        <v>0</v>
      </c>
    </row>
    <row r="85" spans="1:10" x14ac:dyDescent="0.35">
      <c r="A85" t="s">
        <v>3</v>
      </c>
      <c r="B85">
        <v>5599</v>
      </c>
      <c r="C85">
        <v>2009</v>
      </c>
      <c r="D85">
        <v>8</v>
      </c>
      <c r="E85" s="1">
        <v>589.07500000000005</v>
      </c>
      <c r="F85" s="1">
        <v>112414.27</v>
      </c>
      <c r="G85" s="1">
        <v>15676349.960000001</v>
      </c>
      <c r="H85" s="1">
        <v>5024.01</v>
      </c>
      <c r="I85" s="1" t="s">
        <v>0</v>
      </c>
      <c r="J85" s="1" t="s">
        <v>0</v>
      </c>
    </row>
    <row r="86" spans="1:10" x14ac:dyDescent="0.35">
      <c r="A86" t="s">
        <v>3</v>
      </c>
      <c r="B86">
        <v>5599</v>
      </c>
      <c r="C86">
        <v>2009</v>
      </c>
      <c r="D86">
        <v>9</v>
      </c>
      <c r="E86" s="1">
        <v>493.25</v>
      </c>
      <c r="F86" s="1">
        <v>90098.89</v>
      </c>
      <c r="G86" s="1">
        <v>12553421.689999999</v>
      </c>
      <c r="H86" s="1">
        <v>2235.08</v>
      </c>
      <c r="I86" s="1" t="s">
        <v>0</v>
      </c>
      <c r="J86" s="1" t="s">
        <v>0</v>
      </c>
    </row>
    <row r="87" spans="1:10" x14ac:dyDescent="0.35">
      <c r="A87" t="s">
        <v>3</v>
      </c>
      <c r="B87">
        <v>5599</v>
      </c>
      <c r="C87">
        <v>2009</v>
      </c>
      <c r="D87">
        <v>10</v>
      </c>
      <c r="E87" s="1">
        <v>683.74166000000002</v>
      </c>
      <c r="F87" s="1">
        <v>126939.65</v>
      </c>
      <c r="G87" s="1">
        <v>17819694.280000001</v>
      </c>
      <c r="H87" s="1">
        <v>6812.79</v>
      </c>
      <c r="I87" s="1" t="s">
        <v>0</v>
      </c>
      <c r="J87" s="1" t="s">
        <v>0</v>
      </c>
    </row>
    <row r="88" spans="1:10" x14ac:dyDescent="0.35">
      <c r="A88" t="s">
        <v>3</v>
      </c>
      <c r="B88">
        <v>5599</v>
      </c>
      <c r="C88">
        <v>2009</v>
      </c>
      <c r="D88">
        <v>11</v>
      </c>
      <c r="E88" s="1">
        <v>705.75000999999997</v>
      </c>
      <c r="F88" s="1">
        <v>136015.67999999999</v>
      </c>
      <c r="G88" s="1">
        <v>19181583.579999998</v>
      </c>
      <c r="H88" s="1">
        <v>11286.87</v>
      </c>
      <c r="I88" s="1" t="s">
        <v>0</v>
      </c>
      <c r="J88" s="1" t="s">
        <v>0</v>
      </c>
    </row>
    <row r="89" spans="1:10" x14ac:dyDescent="0.35">
      <c r="A89" t="s">
        <v>3</v>
      </c>
      <c r="B89">
        <v>5599</v>
      </c>
      <c r="C89">
        <v>2009</v>
      </c>
      <c r="D89">
        <v>12</v>
      </c>
      <c r="E89" s="1">
        <v>728.5</v>
      </c>
      <c r="F89" s="1">
        <v>158001.51999999999</v>
      </c>
      <c r="G89" s="1">
        <v>22160862.449999999</v>
      </c>
      <c r="H89" s="1">
        <v>17321.2</v>
      </c>
      <c r="I89" s="1" t="s">
        <v>0</v>
      </c>
      <c r="J89" s="1" t="s">
        <v>0</v>
      </c>
    </row>
    <row r="90" spans="1:10" x14ac:dyDescent="0.35">
      <c r="A90" t="s">
        <v>3</v>
      </c>
      <c r="B90">
        <v>5599</v>
      </c>
      <c r="C90">
        <v>2010</v>
      </c>
      <c r="D90">
        <v>1</v>
      </c>
      <c r="E90" s="1">
        <v>742.16665999999998</v>
      </c>
      <c r="F90" s="1">
        <v>149658.82999999999</v>
      </c>
      <c r="G90" s="1">
        <v>21044604.02</v>
      </c>
      <c r="H90" s="1">
        <v>30230.27</v>
      </c>
      <c r="I90" s="1" t="s">
        <v>0</v>
      </c>
      <c r="J90" s="1" t="s">
        <v>0</v>
      </c>
    </row>
    <row r="91" spans="1:10" x14ac:dyDescent="0.35">
      <c r="A91" t="s">
        <v>3</v>
      </c>
      <c r="B91">
        <v>5599</v>
      </c>
      <c r="C91">
        <v>2010</v>
      </c>
      <c r="D91">
        <v>2</v>
      </c>
      <c r="E91" s="1">
        <v>608.72500000000002</v>
      </c>
      <c r="F91" s="1">
        <v>103026</v>
      </c>
      <c r="G91" s="1">
        <v>14520589.939999999</v>
      </c>
      <c r="H91" s="1">
        <v>43215.66</v>
      </c>
      <c r="I91" s="1" t="s">
        <v>0</v>
      </c>
      <c r="J91" s="1" t="s">
        <v>0</v>
      </c>
    </row>
    <row r="92" spans="1:10" x14ac:dyDescent="0.35">
      <c r="A92" t="s">
        <v>3</v>
      </c>
      <c r="B92">
        <v>5599</v>
      </c>
      <c r="C92">
        <v>2010</v>
      </c>
      <c r="D92">
        <v>3</v>
      </c>
      <c r="E92" s="1">
        <v>647.66665999999998</v>
      </c>
      <c r="F92" s="1">
        <v>101571.61</v>
      </c>
      <c r="G92" s="1">
        <v>14278518.800000001</v>
      </c>
      <c r="H92" s="1">
        <v>53998.5</v>
      </c>
      <c r="I92" s="1" t="s">
        <v>0</v>
      </c>
      <c r="J92" s="1" t="s">
        <v>0</v>
      </c>
    </row>
    <row r="93" spans="1:10" x14ac:dyDescent="0.35">
      <c r="A93" t="s">
        <v>3</v>
      </c>
      <c r="B93">
        <v>5599</v>
      </c>
      <c r="C93">
        <v>2010</v>
      </c>
      <c r="D93">
        <v>4</v>
      </c>
      <c r="E93" s="1">
        <v>705.99999000000003</v>
      </c>
      <c r="F93" s="1">
        <v>86253.61</v>
      </c>
      <c r="G93" s="1">
        <v>12161145.93</v>
      </c>
      <c r="H93" s="1">
        <v>67996.09</v>
      </c>
      <c r="I93" s="1" t="s">
        <v>0</v>
      </c>
      <c r="J93" s="1" t="s">
        <v>0</v>
      </c>
    </row>
    <row r="94" spans="1:10" x14ac:dyDescent="0.35">
      <c r="A94" t="s">
        <v>3</v>
      </c>
      <c r="B94">
        <v>5599</v>
      </c>
      <c r="C94">
        <v>2010</v>
      </c>
      <c r="D94">
        <v>5</v>
      </c>
      <c r="E94" s="1">
        <v>733.16666999999995</v>
      </c>
      <c r="F94" s="1">
        <v>77113.56</v>
      </c>
      <c r="G94" s="1">
        <v>10970381.300000001</v>
      </c>
      <c r="H94" s="1">
        <v>74438.31</v>
      </c>
      <c r="I94" s="1" t="s">
        <v>0</v>
      </c>
      <c r="J94" s="1" t="s">
        <v>0</v>
      </c>
    </row>
    <row r="95" spans="1:10" x14ac:dyDescent="0.35">
      <c r="A95" t="s">
        <v>3</v>
      </c>
      <c r="B95">
        <v>5599</v>
      </c>
      <c r="C95">
        <v>2010</v>
      </c>
      <c r="D95">
        <v>6</v>
      </c>
      <c r="E95" s="1">
        <v>717.16666999999995</v>
      </c>
      <c r="F95" s="1">
        <v>69617.37</v>
      </c>
      <c r="G95" s="1">
        <v>9944534.2699999996</v>
      </c>
      <c r="H95" s="1">
        <v>83268.36</v>
      </c>
      <c r="I95" s="1" t="s">
        <v>0</v>
      </c>
      <c r="J95" s="1" t="s">
        <v>0</v>
      </c>
    </row>
    <row r="96" spans="1:10" x14ac:dyDescent="0.35">
      <c r="A96" t="s">
        <v>3</v>
      </c>
      <c r="B96">
        <v>5599</v>
      </c>
      <c r="C96">
        <v>2010</v>
      </c>
      <c r="D96">
        <v>7</v>
      </c>
      <c r="E96" s="1">
        <v>742.33334000000002</v>
      </c>
      <c r="F96" s="1">
        <v>64039.69</v>
      </c>
      <c r="G96" s="1">
        <v>9283376.7699999996</v>
      </c>
      <c r="H96" s="1">
        <v>95054.15</v>
      </c>
      <c r="I96" s="1" t="s">
        <v>0</v>
      </c>
      <c r="J96" s="1" t="s">
        <v>0</v>
      </c>
    </row>
    <row r="97" spans="1:10" x14ac:dyDescent="0.35">
      <c r="A97" t="s">
        <v>3</v>
      </c>
      <c r="B97">
        <v>5599</v>
      </c>
      <c r="C97">
        <v>2010</v>
      </c>
      <c r="D97">
        <v>8</v>
      </c>
      <c r="E97" s="1">
        <v>427.43333999999999</v>
      </c>
      <c r="F97" s="1">
        <v>30117.360000000001</v>
      </c>
      <c r="G97" s="1">
        <v>4346504.25</v>
      </c>
      <c r="H97" s="1">
        <v>54787.65</v>
      </c>
      <c r="I97" s="1" t="s">
        <v>0</v>
      </c>
      <c r="J97" s="1" t="s">
        <v>0</v>
      </c>
    </row>
    <row r="98" spans="1:10" x14ac:dyDescent="0.35">
      <c r="A98" t="s">
        <v>3</v>
      </c>
      <c r="B98">
        <v>5599</v>
      </c>
      <c r="C98">
        <v>2010</v>
      </c>
      <c r="D98">
        <v>9</v>
      </c>
      <c r="E98" s="1">
        <v>644.74999000000003</v>
      </c>
      <c r="F98" s="1">
        <v>51312.93</v>
      </c>
      <c r="G98" s="1">
        <v>7750210.8799999999</v>
      </c>
      <c r="H98" s="1">
        <v>89428.800000000003</v>
      </c>
      <c r="I98" s="1" t="s">
        <v>0</v>
      </c>
      <c r="J98" s="1" t="s">
        <v>0</v>
      </c>
    </row>
    <row r="99" spans="1:10" x14ac:dyDescent="0.35">
      <c r="A99" t="s">
        <v>3</v>
      </c>
      <c r="B99">
        <v>5599</v>
      </c>
      <c r="C99">
        <v>2010</v>
      </c>
      <c r="D99">
        <v>10</v>
      </c>
      <c r="E99" s="1">
        <v>743.00000999999997</v>
      </c>
      <c r="F99" s="1">
        <v>51430.58</v>
      </c>
      <c r="G99" s="1">
        <v>7741377.2400000002</v>
      </c>
      <c r="H99" s="1">
        <v>99542.87</v>
      </c>
      <c r="I99" s="1" t="s">
        <v>0</v>
      </c>
      <c r="J99" s="1" t="s">
        <v>0</v>
      </c>
    </row>
    <row r="100" spans="1:10" x14ac:dyDescent="0.35">
      <c r="A100" t="s">
        <v>3</v>
      </c>
      <c r="B100">
        <v>5599</v>
      </c>
      <c r="C100">
        <v>2010</v>
      </c>
      <c r="D100">
        <v>11</v>
      </c>
      <c r="E100" s="1">
        <v>690.33333000000005</v>
      </c>
      <c r="F100" s="1">
        <v>44468.45</v>
      </c>
      <c r="G100" s="1">
        <v>6747077.6399999997</v>
      </c>
      <c r="H100" s="1">
        <v>102235.65</v>
      </c>
      <c r="I100" s="1" t="s">
        <v>0</v>
      </c>
      <c r="J100" s="1" t="s">
        <v>0</v>
      </c>
    </row>
    <row r="101" spans="1:10" x14ac:dyDescent="0.35">
      <c r="A101" t="s">
        <v>3</v>
      </c>
      <c r="B101">
        <v>5599</v>
      </c>
      <c r="C101">
        <v>2010</v>
      </c>
      <c r="D101">
        <v>12</v>
      </c>
      <c r="E101" s="1">
        <v>741.33333000000005</v>
      </c>
      <c r="F101" s="1">
        <v>45217.96</v>
      </c>
      <c r="G101" s="1">
        <v>6910660.46</v>
      </c>
      <c r="H101" s="1">
        <v>111335.89</v>
      </c>
      <c r="I101" s="1" t="s">
        <v>0</v>
      </c>
      <c r="J101" s="1" t="s">
        <v>0</v>
      </c>
    </row>
    <row r="102" spans="1:10" x14ac:dyDescent="0.35">
      <c r="A102" t="s">
        <v>3</v>
      </c>
      <c r="B102">
        <v>5599</v>
      </c>
      <c r="C102">
        <v>2011</v>
      </c>
      <c r="D102">
        <v>1</v>
      </c>
      <c r="E102" s="1">
        <v>743.5</v>
      </c>
      <c r="F102" s="1">
        <v>44746.55</v>
      </c>
      <c r="G102" s="1">
        <v>6824000.8899999997</v>
      </c>
      <c r="H102" s="1">
        <v>116885.54</v>
      </c>
      <c r="I102" s="1" t="s">
        <v>0</v>
      </c>
      <c r="J102" s="1" t="s">
        <v>0</v>
      </c>
    </row>
    <row r="103" spans="1:10" x14ac:dyDescent="0.35">
      <c r="A103" t="s">
        <v>3</v>
      </c>
      <c r="B103">
        <v>5599</v>
      </c>
      <c r="C103">
        <v>2011</v>
      </c>
      <c r="D103">
        <v>2</v>
      </c>
      <c r="E103" s="1">
        <v>557.24999000000003</v>
      </c>
      <c r="F103" s="1">
        <v>29157.49</v>
      </c>
      <c r="G103" s="1">
        <v>4519227.07</v>
      </c>
      <c r="H103" s="1">
        <v>85274.18</v>
      </c>
      <c r="I103" s="1" t="s">
        <v>0</v>
      </c>
      <c r="J103" s="1" t="s">
        <v>0</v>
      </c>
    </row>
    <row r="104" spans="1:10" x14ac:dyDescent="0.35">
      <c r="A104" t="s">
        <v>3</v>
      </c>
      <c r="B104">
        <v>5599</v>
      </c>
      <c r="C104">
        <v>2011</v>
      </c>
      <c r="D104">
        <v>3</v>
      </c>
      <c r="E104" s="1">
        <v>729.83334000000002</v>
      </c>
      <c r="F104" s="1">
        <v>37395.050000000003</v>
      </c>
      <c r="G104" s="1">
        <v>5760219.21</v>
      </c>
      <c r="H104" s="1">
        <v>113239.35</v>
      </c>
      <c r="I104" s="1" t="s">
        <v>0</v>
      </c>
      <c r="J104" s="1" t="s">
        <v>0</v>
      </c>
    </row>
    <row r="105" spans="1:10" x14ac:dyDescent="0.35">
      <c r="A105" t="s">
        <v>3</v>
      </c>
      <c r="B105">
        <v>5599</v>
      </c>
      <c r="C105">
        <v>2011</v>
      </c>
      <c r="D105">
        <v>4</v>
      </c>
      <c r="E105" s="1">
        <v>717.91666999999995</v>
      </c>
      <c r="F105" s="1">
        <v>37819.72</v>
      </c>
      <c r="G105" s="1">
        <v>5877460.8700000001</v>
      </c>
      <c r="H105" s="1">
        <v>116196.38</v>
      </c>
      <c r="I105" s="1" t="s">
        <v>0</v>
      </c>
      <c r="J105" s="1" t="s">
        <v>0</v>
      </c>
    </row>
    <row r="106" spans="1:10" x14ac:dyDescent="0.35">
      <c r="A106" t="s">
        <v>3</v>
      </c>
      <c r="B106">
        <v>5599</v>
      </c>
      <c r="C106">
        <v>2011</v>
      </c>
      <c r="D106">
        <v>5</v>
      </c>
      <c r="E106" s="1">
        <v>736.04166999999995</v>
      </c>
      <c r="F106" s="1">
        <v>37204.71</v>
      </c>
      <c r="G106" s="1">
        <v>5801740.29</v>
      </c>
      <c r="H106" s="1">
        <v>119567.47</v>
      </c>
      <c r="I106" s="1" t="s">
        <v>0</v>
      </c>
      <c r="J106" s="1" t="s">
        <v>0</v>
      </c>
    </row>
    <row r="107" spans="1:10" x14ac:dyDescent="0.35">
      <c r="A107" t="s">
        <v>3</v>
      </c>
      <c r="B107">
        <v>5599</v>
      </c>
      <c r="C107">
        <v>2011</v>
      </c>
      <c r="D107">
        <v>6</v>
      </c>
      <c r="E107" s="1">
        <v>463.26666999999998</v>
      </c>
      <c r="F107" s="1">
        <v>22026.06</v>
      </c>
      <c r="G107" s="1">
        <v>3412025.77</v>
      </c>
      <c r="H107" s="1">
        <v>74563.44</v>
      </c>
      <c r="I107" s="1" t="s">
        <v>0</v>
      </c>
      <c r="J107" s="1" t="s">
        <v>0</v>
      </c>
    </row>
    <row r="108" spans="1:10" x14ac:dyDescent="0.35">
      <c r="A108" t="s">
        <v>3</v>
      </c>
      <c r="B108">
        <v>5599</v>
      </c>
      <c r="C108">
        <v>2011</v>
      </c>
      <c r="D108">
        <v>7</v>
      </c>
      <c r="E108" s="1">
        <v>245.24669</v>
      </c>
      <c r="F108" s="1">
        <v>12462.42</v>
      </c>
      <c r="G108" s="1">
        <v>1823751.35</v>
      </c>
      <c r="H108" s="1">
        <v>31887.51</v>
      </c>
      <c r="I108" s="1" t="s">
        <v>0</v>
      </c>
      <c r="J108" s="1" t="s">
        <v>0</v>
      </c>
    </row>
    <row r="109" spans="1:10" x14ac:dyDescent="0.35">
      <c r="A109" t="s">
        <v>3</v>
      </c>
      <c r="B109">
        <v>5599</v>
      </c>
      <c r="C109">
        <v>2011</v>
      </c>
      <c r="D109">
        <v>8</v>
      </c>
      <c r="E109" s="1">
        <v>651.49332000000004</v>
      </c>
      <c r="F109" s="1">
        <v>36380.15</v>
      </c>
      <c r="G109" s="1">
        <v>5446516.5300000003</v>
      </c>
      <c r="H109" s="1">
        <v>99004.87</v>
      </c>
      <c r="I109" s="1" t="s">
        <v>0</v>
      </c>
      <c r="J109" s="1" t="s">
        <v>0</v>
      </c>
    </row>
    <row r="110" spans="1:10" x14ac:dyDescent="0.35">
      <c r="A110" t="s">
        <v>3</v>
      </c>
      <c r="B110">
        <v>5599</v>
      </c>
      <c r="C110">
        <v>2011</v>
      </c>
      <c r="D110">
        <v>9</v>
      </c>
      <c r="E110" s="1">
        <v>707</v>
      </c>
      <c r="F110" s="1">
        <v>29999.17</v>
      </c>
      <c r="G110" s="1">
        <v>4566406.76</v>
      </c>
      <c r="H110" s="1">
        <v>110471.84</v>
      </c>
      <c r="I110" s="1" t="s">
        <v>0</v>
      </c>
      <c r="J110" s="1" t="s">
        <v>0</v>
      </c>
    </row>
    <row r="111" spans="1:10" x14ac:dyDescent="0.35">
      <c r="A111" t="s">
        <v>3</v>
      </c>
      <c r="B111">
        <v>5599</v>
      </c>
      <c r="C111">
        <v>2011</v>
      </c>
      <c r="D111">
        <v>10</v>
      </c>
      <c r="E111" s="1">
        <v>325.66165999999998</v>
      </c>
      <c r="F111" s="1">
        <v>12647.5</v>
      </c>
      <c r="G111" s="1">
        <v>1919664.23</v>
      </c>
      <c r="H111" s="1">
        <v>52875.8</v>
      </c>
      <c r="I111" s="1" t="s">
        <v>0</v>
      </c>
      <c r="J111" s="1" t="s">
        <v>0</v>
      </c>
    </row>
    <row r="112" spans="1:10" x14ac:dyDescent="0.35">
      <c r="A112" t="s">
        <v>3</v>
      </c>
      <c r="B112">
        <v>5599</v>
      </c>
      <c r="C112">
        <v>2011</v>
      </c>
      <c r="D112">
        <v>11</v>
      </c>
      <c r="E112" s="1">
        <v>459.33334000000002</v>
      </c>
      <c r="F112" s="1">
        <v>21789.05</v>
      </c>
      <c r="G112" s="1">
        <v>3242433.68</v>
      </c>
      <c r="H112" s="1">
        <v>75772.929999999993</v>
      </c>
      <c r="I112" s="1" t="s">
        <v>0</v>
      </c>
      <c r="J112" s="1" t="s">
        <v>0</v>
      </c>
    </row>
    <row r="113" spans="1:10" x14ac:dyDescent="0.35">
      <c r="A113" t="s">
        <v>3</v>
      </c>
      <c r="B113">
        <v>5599</v>
      </c>
      <c r="C113">
        <v>2011</v>
      </c>
      <c r="D113">
        <v>12</v>
      </c>
      <c r="E113" s="1">
        <v>424.82166000000001</v>
      </c>
      <c r="F113" s="1">
        <v>18090.2</v>
      </c>
      <c r="G113" s="1">
        <v>2650493.31</v>
      </c>
      <c r="H113" s="1">
        <v>64676.69</v>
      </c>
      <c r="I113" s="1" t="s">
        <v>0</v>
      </c>
      <c r="J113" s="1" t="s">
        <v>0</v>
      </c>
    </row>
    <row r="114" spans="1:10" x14ac:dyDescent="0.35">
      <c r="A114" t="s">
        <v>3</v>
      </c>
      <c r="B114">
        <v>5599</v>
      </c>
      <c r="C114">
        <v>2012</v>
      </c>
      <c r="D114">
        <v>1</v>
      </c>
      <c r="E114" s="1">
        <v>399.65834000000001</v>
      </c>
      <c r="F114" s="1">
        <v>18217.849999999999</v>
      </c>
      <c r="G114" s="1">
        <v>2722573.45</v>
      </c>
      <c r="H114" s="1">
        <v>63857.71</v>
      </c>
      <c r="I114" s="1" t="s">
        <v>0</v>
      </c>
      <c r="J114" s="1" t="s">
        <v>0</v>
      </c>
    </row>
    <row r="115" spans="1:10" x14ac:dyDescent="0.35">
      <c r="A115" t="s">
        <v>3</v>
      </c>
      <c r="B115">
        <v>5599</v>
      </c>
      <c r="C115">
        <v>2012</v>
      </c>
      <c r="D115">
        <v>2</v>
      </c>
      <c r="E115" s="1">
        <v>688.75833</v>
      </c>
      <c r="F115" s="1">
        <v>27362.26</v>
      </c>
      <c r="G115" s="1">
        <v>4289924.83</v>
      </c>
      <c r="H115" s="1">
        <v>133954.93</v>
      </c>
      <c r="I115" s="1" t="s">
        <v>0</v>
      </c>
      <c r="J115" s="1" t="s">
        <v>0</v>
      </c>
    </row>
    <row r="116" spans="1:10" x14ac:dyDescent="0.35">
      <c r="A116" t="s">
        <v>3</v>
      </c>
      <c r="B116">
        <v>5599</v>
      </c>
      <c r="C116">
        <v>2012</v>
      </c>
      <c r="D116">
        <v>3</v>
      </c>
      <c r="E116" s="1">
        <v>740.41665999999998</v>
      </c>
      <c r="F116" s="1">
        <v>26679.88</v>
      </c>
      <c r="G116" s="1">
        <v>4276185.92</v>
      </c>
      <c r="H116" s="1">
        <v>142184.01</v>
      </c>
      <c r="I116" s="1" t="s">
        <v>0</v>
      </c>
      <c r="J116" s="1" t="s">
        <v>0</v>
      </c>
    </row>
    <row r="117" spans="1:10" x14ac:dyDescent="0.35">
      <c r="A117" t="s">
        <v>3</v>
      </c>
      <c r="B117">
        <v>5599</v>
      </c>
      <c r="C117">
        <v>2012</v>
      </c>
      <c r="D117">
        <v>4</v>
      </c>
      <c r="E117" s="1">
        <v>710.29166999999995</v>
      </c>
      <c r="F117" s="1">
        <v>24088.35</v>
      </c>
      <c r="G117" s="1">
        <v>3866150.19</v>
      </c>
      <c r="H117" s="1">
        <v>138112.43</v>
      </c>
      <c r="I117" s="1" t="s">
        <v>0</v>
      </c>
      <c r="J117" s="1" t="s">
        <v>0</v>
      </c>
    </row>
    <row r="118" spans="1:10" x14ac:dyDescent="0.35">
      <c r="A118" t="s">
        <v>3</v>
      </c>
      <c r="B118">
        <v>5599</v>
      </c>
      <c r="C118">
        <v>2012</v>
      </c>
      <c r="D118">
        <v>5</v>
      </c>
      <c r="E118" s="1">
        <v>737.69167000000004</v>
      </c>
      <c r="F118" s="1">
        <v>22415.15</v>
      </c>
      <c r="G118" s="1">
        <v>3630958.27</v>
      </c>
      <c r="H118" s="1">
        <v>140203.43</v>
      </c>
      <c r="I118" s="1" t="s">
        <v>0</v>
      </c>
      <c r="J118" s="1" t="s">
        <v>0</v>
      </c>
    </row>
    <row r="119" spans="1:10" x14ac:dyDescent="0.35">
      <c r="A119" t="s">
        <v>3</v>
      </c>
      <c r="B119">
        <v>5599</v>
      </c>
      <c r="C119">
        <v>2012</v>
      </c>
      <c r="D119">
        <v>6</v>
      </c>
      <c r="E119" s="1">
        <v>711.33334000000002</v>
      </c>
      <c r="F119" s="1">
        <v>20887.38</v>
      </c>
      <c r="G119" s="1">
        <v>3394646.36</v>
      </c>
      <c r="H119" s="1">
        <v>134081.24</v>
      </c>
      <c r="I119" s="1" t="s">
        <v>0</v>
      </c>
      <c r="J119" s="1" t="s">
        <v>0</v>
      </c>
    </row>
    <row r="120" spans="1:10" x14ac:dyDescent="0.35">
      <c r="A120" t="s">
        <v>3</v>
      </c>
      <c r="B120">
        <v>5599</v>
      </c>
      <c r="C120">
        <v>2012</v>
      </c>
      <c r="D120">
        <v>7</v>
      </c>
      <c r="E120" s="1">
        <v>744</v>
      </c>
      <c r="F120" s="1">
        <v>21206.94</v>
      </c>
      <c r="G120" s="1">
        <v>3444768.69</v>
      </c>
      <c r="H120" s="1">
        <v>140164.53</v>
      </c>
      <c r="I120" s="1" t="s">
        <v>0</v>
      </c>
      <c r="J120" s="1" t="s">
        <v>0</v>
      </c>
    </row>
    <row r="121" spans="1:10" x14ac:dyDescent="0.35">
      <c r="A121" t="s">
        <v>3</v>
      </c>
      <c r="B121">
        <v>5599</v>
      </c>
      <c r="C121">
        <v>2012</v>
      </c>
      <c r="D121">
        <v>8</v>
      </c>
      <c r="E121" s="1">
        <v>288.625</v>
      </c>
      <c r="F121" s="1">
        <v>8998.24</v>
      </c>
      <c r="G121" s="1">
        <v>1376155.08</v>
      </c>
      <c r="H121" s="1">
        <v>54786.62</v>
      </c>
      <c r="I121" s="1" t="s">
        <v>0</v>
      </c>
      <c r="J121" s="1" t="s">
        <v>0</v>
      </c>
    </row>
    <row r="122" spans="1:10" x14ac:dyDescent="0.35">
      <c r="A122" t="s">
        <v>3</v>
      </c>
      <c r="B122">
        <v>5599</v>
      </c>
      <c r="C122">
        <v>2012</v>
      </c>
      <c r="D122">
        <v>9</v>
      </c>
      <c r="E122" s="1">
        <v>26.99166</v>
      </c>
      <c r="F122" s="1">
        <v>1013.93</v>
      </c>
      <c r="G122" s="1">
        <v>156920.4</v>
      </c>
      <c r="H122" s="1">
        <v>4513.08</v>
      </c>
      <c r="I122" s="1" t="s">
        <v>0</v>
      </c>
      <c r="J122" s="1" t="s">
        <v>0</v>
      </c>
    </row>
    <row r="123" spans="1:10" x14ac:dyDescent="0.35">
      <c r="A123" t="s">
        <v>3</v>
      </c>
      <c r="B123">
        <v>5599</v>
      </c>
      <c r="C123">
        <v>2012</v>
      </c>
      <c r="D123">
        <v>10</v>
      </c>
      <c r="E123" s="1">
        <v>610.17499999999995</v>
      </c>
      <c r="F123" s="1">
        <v>19612.849999999999</v>
      </c>
      <c r="G123" s="1">
        <v>3067585.4</v>
      </c>
      <c r="H123" s="1">
        <v>121317.43</v>
      </c>
      <c r="I123" s="1" t="s">
        <v>0</v>
      </c>
      <c r="J123" s="1" t="s">
        <v>0</v>
      </c>
    </row>
    <row r="124" spans="1:10" x14ac:dyDescent="0.35">
      <c r="A124" t="s">
        <v>3</v>
      </c>
      <c r="B124">
        <v>5599</v>
      </c>
      <c r="C124">
        <v>2012</v>
      </c>
      <c r="D124">
        <v>11</v>
      </c>
      <c r="E124" s="1">
        <v>720</v>
      </c>
      <c r="F124" s="1">
        <v>19018.88</v>
      </c>
      <c r="G124" s="1">
        <v>3086439.76</v>
      </c>
      <c r="H124" s="1">
        <v>134909.35999999999</v>
      </c>
      <c r="I124" s="1" t="s">
        <v>0</v>
      </c>
      <c r="J124" s="1" t="s">
        <v>0</v>
      </c>
    </row>
    <row r="125" spans="1:10" x14ac:dyDescent="0.35">
      <c r="A125" t="s">
        <v>3</v>
      </c>
      <c r="B125">
        <v>5599</v>
      </c>
      <c r="C125">
        <v>2012</v>
      </c>
      <c r="D125">
        <v>12</v>
      </c>
      <c r="E125" s="1">
        <v>700.24999000000003</v>
      </c>
      <c r="F125" s="1">
        <v>16320.65</v>
      </c>
      <c r="G125" s="1">
        <v>2717290.03</v>
      </c>
      <c r="H125" s="1">
        <v>131667.43</v>
      </c>
      <c r="I125" s="1" t="s">
        <v>0</v>
      </c>
      <c r="J125" s="1" t="s">
        <v>0</v>
      </c>
    </row>
    <row r="126" spans="1:10" x14ac:dyDescent="0.35">
      <c r="A126" t="s">
        <v>3</v>
      </c>
      <c r="B126">
        <v>5599</v>
      </c>
      <c r="C126">
        <v>2013</v>
      </c>
      <c r="D126">
        <v>1</v>
      </c>
      <c r="E126" s="1">
        <v>744</v>
      </c>
      <c r="F126" s="1">
        <v>17408.57</v>
      </c>
      <c r="G126" s="1">
        <v>2881178.96</v>
      </c>
      <c r="H126" s="1">
        <v>139783.93</v>
      </c>
      <c r="I126" s="1" t="s">
        <v>0</v>
      </c>
      <c r="J126" s="1" t="s">
        <v>0</v>
      </c>
    </row>
    <row r="127" spans="1:10" x14ac:dyDescent="0.35">
      <c r="A127" t="s">
        <v>3</v>
      </c>
      <c r="B127">
        <v>5599</v>
      </c>
      <c r="C127">
        <v>2013</v>
      </c>
      <c r="D127">
        <v>2</v>
      </c>
      <c r="E127" s="1">
        <v>672</v>
      </c>
      <c r="F127" s="1">
        <v>15087.38</v>
      </c>
      <c r="G127" s="1">
        <v>2461248.52</v>
      </c>
      <c r="H127" s="1">
        <v>126325.44</v>
      </c>
      <c r="I127" s="1" t="s">
        <v>0</v>
      </c>
      <c r="J127" s="1" t="s">
        <v>0</v>
      </c>
    </row>
    <row r="128" spans="1:10" x14ac:dyDescent="0.35">
      <c r="A128" t="s">
        <v>3</v>
      </c>
      <c r="B128">
        <v>5599</v>
      </c>
      <c r="C128">
        <v>2013</v>
      </c>
      <c r="D128">
        <v>3</v>
      </c>
      <c r="E128" s="1">
        <v>307.76832999999999</v>
      </c>
      <c r="F128" s="1">
        <v>6305.81</v>
      </c>
      <c r="G128" s="1">
        <v>1053665.6200000001</v>
      </c>
      <c r="H128" s="1">
        <v>57120.76</v>
      </c>
      <c r="I128" s="1" t="s">
        <v>0</v>
      </c>
      <c r="J128" s="1" t="s">
        <v>0</v>
      </c>
    </row>
    <row r="129" spans="1:10" x14ac:dyDescent="0.35">
      <c r="A129" t="s">
        <v>3</v>
      </c>
      <c r="B129">
        <v>5599</v>
      </c>
      <c r="C129">
        <v>2013</v>
      </c>
      <c r="D129">
        <v>4</v>
      </c>
      <c r="E129" s="1">
        <v>513.46573000000001</v>
      </c>
      <c r="F129" s="1">
        <v>12351.34</v>
      </c>
      <c r="G129" s="1">
        <v>2055291.86</v>
      </c>
      <c r="H129" s="1">
        <v>102945.43</v>
      </c>
      <c r="I129" s="1" t="s">
        <v>0</v>
      </c>
      <c r="J129" s="1" t="s">
        <v>0</v>
      </c>
    </row>
    <row r="130" spans="1:10" x14ac:dyDescent="0.35">
      <c r="A130" t="s">
        <v>3</v>
      </c>
      <c r="B130">
        <v>5599</v>
      </c>
      <c r="C130">
        <v>2013</v>
      </c>
      <c r="D130">
        <v>5</v>
      </c>
      <c r="E130" s="1">
        <v>732.05834000000004</v>
      </c>
      <c r="F130" s="1">
        <v>16313.4</v>
      </c>
      <c r="G130" s="1">
        <v>2757755.17</v>
      </c>
      <c r="H130" s="1">
        <v>147164.69</v>
      </c>
      <c r="I130" s="1" t="s">
        <v>0</v>
      </c>
      <c r="J130" s="1" t="s">
        <v>0</v>
      </c>
    </row>
    <row r="131" spans="1:10" x14ac:dyDescent="0.35">
      <c r="A131" t="s">
        <v>3</v>
      </c>
      <c r="B131">
        <v>5599</v>
      </c>
      <c r="C131">
        <v>2013</v>
      </c>
      <c r="D131">
        <v>6</v>
      </c>
      <c r="E131" s="1">
        <v>566.67499999999995</v>
      </c>
      <c r="F131" s="1">
        <v>11899.57</v>
      </c>
      <c r="G131" s="1">
        <v>2037219.83</v>
      </c>
      <c r="H131" s="1">
        <v>112559.07</v>
      </c>
      <c r="I131" s="1" t="s">
        <v>0</v>
      </c>
      <c r="J131" s="1" t="s">
        <v>0</v>
      </c>
    </row>
    <row r="132" spans="1:10" x14ac:dyDescent="0.35">
      <c r="A132" t="s">
        <v>3</v>
      </c>
      <c r="B132">
        <v>5599</v>
      </c>
      <c r="C132">
        <v>2013</v>
      </c>
      <c r="D132">
        <v>7</v>
      </c>
      <c r="E132" s="1">
        <v>581.27499999999998</v>
      </c>
      <c r="F132" s="1">
        <v>11861.63</v>
      </c>
      <c r="G132" s="1">
        <v>1919702.47</v>
      </c>
      <c r="H132" s="1">
        <v>112172.58</v>
      </c>
      <c r="I132" s="1" t="s">
        <v>0</v>
      </c>
      <c r="J132" s="1" t="s">
        <v>0</v>
      </c>
    </row>
    <row r="133" spans="1:10" x14ac:dyDescent="0.35">
      <c r="A133" t="s">
        <v>3</v>
      </c>
      <c r="B133">
        <v>5599</v>
      </c>
      <c r="C133">
        <v>2013</v>
      </c>
      <c r="D133">
        <v>8</v>
      </c>
      <c r="E133" s="1">
        <v>687.97685000000001</v>
      </c>
      <c r="F133" s="1">
        <v>15147.18</v>
      </c>
      <c r="G133" s="1">
        <v>2354241.4900000002</v>
      </c>
      <c r="H133" s="1">
        <v>152994.91</v>
      </c>
      <c r="I133" s="1" t="s">
        <v>0</v>
      </c>
      <c r="J133" s="1" t="s">
        <v>0</v>
      </c>
    </row>
    <row r="134" spans="1:10" x14ac:dyDescent="0.35">
      <c r="A134" t="s">
        <v>3</v>
      </c>
      <c r="B134">
        <v>5599</v>
      </c>
      <c r="C134">
        <v>2013</v>
      </c>
      <c r="D134">
        <v>9</v>
      </c>
      <c r="E134" s="1">
        <v>589.98500000000001</v>
      </c>
      <c r="F134" s="1">
        <v>9223.5300000000007</v>
      </c>
      <c r="G134" s="1">
        <v>1446819.31</v>
      </c>
      <c r="H134" s="1">
        <v>104678.41</v>
      </c>
      <c r="I134" s="1" t="s">
        <v>0</v>
      </c>
      <c r="J134" s="1" t="s">
        <v>0</v>
      </c>
    </row>
    <row r="135" spans="1:10" x14ac:dyDescent="0.35">
      <c r="A135" t="s">
        <v>3</v>
      </c>
      <c r="B135">
        <v>5599</v>
      </c>
      <c r="C135">
        <v>2013</v>
      </c>
      <c r="D135">
        <v>10</v>
      </c>
      <c r="E135" s="1">
        <v>680</v>
      </c>
      <c r="F135" s="1">
        <v>8305.01</v>
      </c>
      <c r="G135" s="1">
        <v>1283583.5</v>
      </c>
      <c r="H135" s="1">
        <v>137534.62</v>
      </c>
      <c r="I135" s="1" t="s">
        <v>0</v>
      </c>
      <c r="J135" s="1" t="s">
        <v>0</v>
      </c>
    </row>
    <row r="136" spans="1:10" x14ac:dyDescent="0.35">
      <c r="A136" t="s">
        <v>3</v>
      </c>
      <c r="B136">
        <v>5599</v>
      </c>
      <c r="C136">
        <v>2013</v>
      </c>
      <c r="D136">
        <v>11</v>
      </c>
      <c r="E136" s="1">
        <v>648.64166999999998</v>
      </c>
      <c r="F136" s="1">
        <v>7170.56</v>
      </c>
      <c r="G136" s="1">
        <v>1102962.23</v>
      </c>
      <c r="H136" s="1">
        <v>122993.19</v>
      </c>
      <c r="I136" s="1" t="s">
        <v>0</v>
      </c>
      <c r="J136" s="1" t="s">
        <v>0</v>
      </c>
    </row>
    <row r="137" spans="1:10" x14ac:dyDescent="0.35">
      <c r="A137" t="s">
        <v>3</v>
      </c>
      <c r="B137">
        <v>5599</v>
      </c>
      <c r="C137">
        <v>2013</v>
      </c>
      <c r="D137">
        <v>12</v>
      </c>
      <c r="E137" s="1">
        <v>633.4</v>
      </c>
      <c r="F137" s="1">
        <v>7079.52</v>
      </c>
      <c r="G137" s="1">
        <v>1101388.53</v>
      </c>
      <c r="H137" s="1">
        <v>125859.26</v>
      </c>
      <c r="I137" s="1" t="s">
        <v>0</v>
      </c>
      <c r="J137" s="1" t="s">
        <v>0</v>
      </c>
    </row>
    <row r="138" spans="1:10" x14ac:dyDescent="0.35">
      <c r="A138" t="s">
        <v>3</v>
      </c>
      <c r="B138">
        <v>5599</v>
      </c>
      <c r="C138">
        <v>2014</v>
      </c>
      <c r="D138">
        <v>1</v>
      </c>
      <c r="E138" s="1">
        <v>486.14168000000001</v>
      </c>
      <c r="F138" s="1">
        <v>4997.24</v>
      </c>
      <c r="G138" s="1">
        <v>766195.72</v>
      </c>
      <c r="H138" s="1">
        <v>87030.26</v>
      </c>
      <c r="I138" s="1" t="s">
        <v>0</v>
      </c>
      <c r="J138" s="1" t="s">
        <v>0</v>
      </c>
    </row>
    <row r="139" spans="1:10" x14ac:dyDescent="0.35">
      <c r="A139" t="s">
        <v>3</v>
      </c>
      <c r="B139">
        <v>5599</v>
      </c>
      <c r="C139">
        <v>2014</v>
      </c>
      <c r="D139">
        <v>2</v>
      </c>
      <c r="E139" s="1">
        <v>561.9</v>
      </c>
      <c r="F139" s="1">
        <v>6101.4</v>
      </c>
      <c r="G139" s="1">
        <v>921967.01</v>
      </c>
      <c r="H139" s="1">
        <v>110297.86</v>
      </c>
      <c r="I139" s="1" t="s">
        <v>0</v>
      </c>
      <c r="J139" s="1" t="s">
        <v>0</v>
      </c>
    </row>
    <row r="140" spans="1:10" x14ac:dyDescent="0.35">
      <c r="A140" t="s">
        <v>3</v>
      </c>
      <c r="B140">
        <v>5599</v>
      </c>
      <c r="C140">
        <v>2014</v>
      </c>
      <c r="D140">
        <v>3</v>
      </c>
      <c r="E140" s="1">
        <v>656.72425999999996</v>
      </c>
      <c r="F140" s="1">
        <v>6835.66</v>
      </c>
      <c r="G140" s="1">
        <v>1036071.18</v>
      </c>
      <c r="H140" s="1">
        <v>127351.18</v>
      </c>
      <c r="I140" s="1" t="s">
        <v>0</v>
      </c>
      <c r="J140" s="1" t="s">
        <v>0</v>
      </c>
    </row>
    <row r="141" spans="1:10" x14ac:dyDescent="0.35">
      <c r="A141" t="s">
        <v>3</v>
      </c>
      <c r="B141">
        <v>5599</v>
      </c>
      <c r="C141">
        <v>2014</v>
      </c>
      <c r="D141">
        <v>4</v>
      </c>
      <c r="E141" s="1">
        <v>693.01832999999999</v>
      </c>
      <c r="F141" s="1">
        <v>5892.01</v>
      </c>
      <c r="G141" s="1">
        <v>883605</v>
      </c>
      <c r="H141" s="1">
        <v>141144.82</v>
      </c>
      <c r="I141" s="1" t="s">
        <v>0</v>
      </c>
      <c r="J141" s="1" t="s">
        <v>0</v>
      </c>
    </row>
    <row r="142" spans="1:10" x14ac:dyDescent="0.35">
      <c r="A142" t="s">
        <v>3</v>
      </c>
      <c r="B142">
        <v>5599</v>
      </c>
      <c r="C142">
        <v>2014</v>
      </c>
      <c r="D142">
        <v>5</v>
      </c>
      <c r="E142" s="1">
        <v>427.32999000000001</v>
      </c>
      <c r="F142" s="1">
        <v>3237.7</v>
      </c>
      <c r="G142" s="1">
        <v>469664</v>
      </c>
      <c r="H142" s="1">
        <v>88748.26</v>
      </c>
      <c r="I142" s="1" t="s">
        <v>0</v>
      </c>
      <c r="J142" s="1" t="s">
        <v>0</v>
      </c>
    </row>
    <row r="143" spans="1:10" x14ac:dyDescent="0.35">
      <c r="A143" t="s">
        <v>3</v>
      </c>
      <c r="B143">
        <v>5599</v>
      </c>
      <c r="C143">
        <v>2014</v>
      </c>
      <c r="D143">
        <v>6</v>
      </c>
      <c r="E143" s="1">
        <v>707.33333000000005</v>
      </c>
      <c r="F143" s="1">
        <v>5751.2</v>
      </c>
      <c r="G143" s="1">
        <v>846733.74</v>
      </c>
      <c r="H143" s="1">
        <v>152034.68</v>
      </c>
      <c r="I143" s="1" t="s">
        <v>0</v>
      </c>
      <c r="J143" s="1" t="s">
        <v>0</v>
      </c>
    </row>
    <row r="144" spans="1:10" x14ac:dyDescent="0.35">
      <c r="A144" t="s">
        <v>3</v>
      </c>
      <c r="B144">
        <v>5599</v>
      </c>
      <c r="C144">
        <v>2014</v>
      </c>
      <c r="D144">
        <v>7</v>
      </c>
      <c r="E144" s="1">
        <v>743.16666999999995</v>
      </c>
      <c r="F144" s="1">
        <v>5791.84</v>
      </c>
      <c r="G144" s="1">
        <v>864045.93</v>
      </c>
      <c r="H144" s="1">
        <v>152314.38</v>
      </c>
      <c r="I144" s="1" t="s">
        <v>0</v>
      </c>
      <c r="J144" s="1" t="s">
        <v>0</v>
      </c>
    </row>
    <row r="145" spans="1:10" x14ac:dyDescent="0.35">
      <c r="A145" t="s">
        <v>3</v>
      </c>
      <c r="B145">
        <v>5599</v>
      </c>
      <c r="C145">
        <v>2014</v>
      </c>
      <c r="D145">
        <v>8</v>
      </c>
      <c r="E145" s="1">
        <v>593.36666000000002</v>
      </c>
      <c r="F145" s="1">
        <v>4448.49</v>
      </c>
      <c r="G145" s="1">
        <v>704538.16</v>
      </c>
      <c r="H145" s="1">
        <v>126629.09</v>
      </c>
      <c r="I145" s="1" t="s">
        <v>0</v>
      </c>
      <c r="J145" s="1" t="s">
        <v>0</v>
      </c>
    </row>
    <row r="146" spans="1:10" x14ac:dyDescent="0.35">
      <c r="A146" t="s">
        <v>3</v>
      </c>
      <c r="B146">
        <v>5599</v>
      </c>
      <c r="C146">
        <v>2014</v>
      </c>
      <c r="D146">
        <v>9</v>
      </c>
      <c r="E146" s="1">
        <v>685.83333000000005</v>
      </c>
      <c r="F146" s="1">
        <v>5062.59</v>
      </c>
      <c r="G146" s="1">
        <v>803970.67</v>
      </c>
      <c r="H146" s="1">
        <v>149375.78</v>
      </c>
      <c r="I146" s="1" t="s">
        <v>0</v>
      </c>
      <c r="J146" s="1" t="s">
        <v>0</v>
      </c>
    </row>
    <row r="147" spans="1:10" x14ac:dyDescent="0.35">
      <c r="A147" t="s">
        <v>3</v>
      </c>
      <c r="B147">
        <v>5599</v>
      </c>
      <c r="C147">
        <v>2014</v>
      </c>
      <c r="D147">
        <v>10</v>
      </c>
      <c r="E147" s="1">
        <v>745</v>
      </c>
      <c r="F147" s="1">
        <v>5385.61</v>
      </c>
      <c r="G147" s="1">
        <v>833120.57</v>
      </c>
      <c r="H147" s="1">
        <v>155365.68</v>
      </c>
      <c r="I147" s="1" t="s">
        <v>0</v>
      </c>
      <c r="J147" s="1" t="s">
        <v>0</v>
      </c>
    </row>
    <row r="148" spans="1:10" x14ac:dyDescent="0.35">
      <c r="A148" t="s">
        <v>3</v>
      </c>
      <c r="B148">
        <v>5599</v>
      </c>
      <c r="C148">
        <v>2014</v>
      </c>
      <c r="D148">
        <v>11</v>
      </c>
      <c r="E148" s="1">
        <v>580.94167000000004</v>
      </c>
      <c r="F148" s="1">
        <v>4495.0600000000004</v>
      </c>
      <c r="G148" s="1">
        <v>700998.22</v>
      </c>
      <c r="H148" s="1">
        <v>114660.7</v>
      </c>
      <c r="I148" s="1" t="s">
        <v>0</v>
      </c>
      <c r="J148" s="1" t="s">
        <v>0</v>
      </c>
    </row>
    <row r="149" spans="1:10" x14ac:dyDescent="0.35">
      <c r="A149" t="s">
        <v>3</v>
      </c>
      <c r="B149">
        <v>5599</v>
      </c>
      <c r="C149">
        <v>2014</v>
      </c>
      <c r="D149">
        <v>12</v>
      </c>
      <c r="E149" s="1">
        <v>0</v>
      </c>
      <c r="F149" s="1">
        <v>0</v>
      </c>
      <c r="G149" s="1">
        <v>0</v>
      </c>
      <c r="H149" s="1">
        <v>0</v>
      </c>
      <c r="I149" s="1" t="s">
        <v>0</v>
      </c>
      <c r="J149" s="1" t="s">
        <v>0</v>
      </c>
    </row>
    <row r="150" spans="1:10" x14ac:dyDescent="0.35">
      <c r="A150" t="s">
        <v>3</v>
      </c>
      <c r="B150">
        <v>5599</v>
      </c>
      <c r="C150">
        <v>2015</v>
      </c>
      <c r="D150">
        <v>1</v>
      </c>
      <c r="E150" s="1">
        <v>715.58333000000005</v>
      </c>
      <c r="F150" s="1">
        <v>25712.55</v>
      </c>
      <c r="G150" s="1">
        <v>3780459.43</v>
      </c>
      <c r="H150" s="1">
        <v>11588.22</v>
      </c>
      <c r="I150" s="1" t="s">
        <v>0</v>
      </c>
      <c r="J150" s="1" t="s">
        <v>0</v>
      </c>
    </row>
    <row r="151" spans="1:10" x14ac:dyDescent="0.35">
      <c r="A151" t="s">
        <v>3</v>
      </c>
      <c r="B151">
        <v>5599</v>
      </c>
      <c r="C151">
        <v>2015</v>
      </c>
      <c r="D151">
        <v>2</v>
      </c>
      <c r="E151" s="1">
        <v>622.79665999999997</v>
      </c>
      <c r="F151" s="1">
        <v>19578.55</v>
      </c>
      <c r="G151" s="1">
        <v>2960674.24</v>
      </c>
      <c r="H151" s="1">
        <v>15115.5</v>
      </c>
      <c r="I151" s="1" t="s">
        <v>0</v>
      </c>
      <c r="J151" s="1" t="s">
        <v>0</v>
      </c>
    </row>
    <row r="152" spans="1:10" x14ac:dyDescent="0.35">
      <c r="A152" t="s">
        <v>3</v>
      </c>
      <c r="B152">
        <v>5599</v>
      </c>
      <c r="C152">
        <v>2015</v>
      </c>
      <c r="D152">
        <v>3</v>
      </c>
      <c r="E152" s="1">
        <v>665.125</v>
      </c>
      <c r="F152" s="1">
        <v>19341.43</v>
      </c>
      <c r="G152" s="1">
        <v>2853432.83</v>
      </c>
      <c r="H152" s="1">
        <v>19255.66</v>
      </c>
      <c r="I152" s="1" t="s">
        <v>0</v>
      </c>
      <c r="J152" s="1" t="s">
        <v>0</v>
      </c>
    </row>
    <row r="153" spans="1:10" x14ac:dyDescent="0.35">
      <c r="A153" t="s">
        <v>3</v>
      </c>
      <c r="B153">
        <v>5599</v>
      </c>
      <c r="C153">
        <v>2015</v>
      </c>
      <c r="D153">
        <v>4</v>
      </c>
      <c r="E153" s="1">
        <v>720</v>
      </c>
      <c r="F153" s="1">
        <v>19796.560000000001</v>
      </c>
      <c r="G153" s="1">
        <v>2889394.96</v>
      </c>
      <c r="H153" s="1">
        <v>20808.060000000001</v>
      </c>
      <c r="I153" s="1" t="s">
        <v>0</v>
      </c>
      <c r="J153" s="1" t="s">
        <v>0</v>
      </c>
    </row>
    <row r="154" spans="1:10" x14ac:dyDescent="0.35">
      <c r="A154" t="s">
        <v>3</v>
      </c>
      <c r="B154">
        <v>5599</v>
      </c>
      <c r="C154">
        <v>2015</v>
      </c>
      <c r="D154">
        <v>5</v>
      </c>
      <c r="E154" s="1">
        <v>744</v>
      </c>
      <c r="F154" s="1">
        <v>16996.48</v>
      </c>
      <c r="G154" s="1">
        <v>2479620.4</v>
      </c>
      <c r="H154" s="1">
        <v>25200.83</v>
      </c>
      <c r="I154" s="1" t="s">
        <v>0</v>
      </c>
      <c r="J154" s="1" t="s">
        <v>0</v>
      </c>
    </row>
    <row r="155" spans="1:10" x14ac:dyDescent="0.35">
      <c r="A155" t="s">
        <v>3</v>
      </c>
      <c r="B155">
        <v>5599</v>
      </c>
      <c r="C155">
        <v>2015</v>
      </c>
      <c r="D155">
        <v>6</v>
      </c>
      <c r="E155" s="1">
        <v>709.31667000000004</v>
      </c>
      <c r="F155" s="1">
        <v>19536.3</v>
      </c>
      <c r="G155" s="1">
        <v>2859707.1</v>
      </c>
      <c r="H155" s="1">
        <v>32902.68</v>
      </c>
      <c r="I155" s="1" t="s">
        <v>0</v>
      </c>
      <c r="J155" s="1" t="s">
        <v>0</v>
      </c>
    </row>
    <row r="156" spans="1:10" x14ac:dyDescent="0.35">
      <c r="A156" t="s">
        <v>3</v>
      </c>
      <c r="B156">
        <v>5599</v>
      </c>
      <c r="C156">
        <v>2015</v>
      </c>
      <c r="D156">
        <v>7</v>
      </c>
      <c r="E156" s="1">
        <v>744</v>
      </c>
      <c r="F156" s="1">
        <v>19157.45</v>
      </c>
      <c r="G156" s="1">
        <v>2846820.92</v>
      </c>
      <c r="H156" s="1">
        <v>36480.53</v>
      </c>
      <c r="I156" s="1" t="s">
        <v>0</v>
      </c>
      <c r="J156" s="1" t="s">
        <v>0</v>
      </c>
    </row>
    <row r="157" spans="1:10" x14ac:dyDescent="0.35">
      <c r="A157" t="s">
        <v>3</v>
      </c>
      <c r="B157">
        <v>5599</v>
      </c>
      <c r="C157">
        <v>2015</v>
      </c>
      <c r="D157">
        <v>8</v>
      </c>
      <c r="E157" s="1">
        <v>636.68332999999996</v>
      </c>
      <c r="F157" s="1">
        <v>13473.27</v>
      </c>
      <c r="G157" s="1">
        <v>2047120.71</v>
      </c>
      <c r="H157" s="1">
        <v>31629.02</v>
      </c>
      <c r="I157" s="1" t="s">
        <v>0</v>
      </c>
      <c r="J157" s="1" t="s">
        <v>0</v>
      </c>
    </row>
    <row r="158" spans="1:10" x14ac:dyDescent="0.35">
      <c r="A158" t="s">
        <v>3</v>
      </c>
      <c r="B158">
        <v>5599</v>
      </c>
      <c r="C158">
        <v>2015</v>
      </c>
      <c r="D158">
        <v>9</v>
      </c>
      <c r="E158" s="1">
        <v>719.32485999999994</v>
      </c>
      <c r="F158" s="1">
        <v>12494.51</v>
      </c>
      <c r="G158" s="1">
        <v>1888048.66</v>
      </c>
      <c r="H158" s="1">
        <v>35065.360000000001</v>
      </c>
      <c r="I158" s="1" t="s">
        <v>0</v>
      </c>
      <c r="J158" s="1" t="s">
        <v>0</v>
      </c>
    </row>
    <row r="159" spans="1:10" x14ac:dyDescent="0.35">
      <c r="A159" t="s">
        <v>3</v>
      </c>
      <c r="B159">
        <v>5599</v>
      </c>
      <c r="C159">
        <v>2015</v>
      </c>
      <c r="D159">
        <v>10</v>
      </c>
      <c r="E159" s="1">
        <v>738.66666999999995</v>
      </c>
      <c r="F159" s="1">
        <v>11888.63</v>
      </c>
      <c r="G159" s="1">
        <v>1821328.15</v>
      </c>
      <c r="H159" s="1">
        <v>38151.120000000003</v>
      </c>
      <c r="I159" s="1" t="s">
        <v>0</v>
      </c>
      <c r="J159" s="1" t="s">
        <v>0</v>
      </c>
    </row>
    <row r="160" spans="1:10" x14ac:dyDescent="0.35">
      <c r="A160" t="s">
        <v>3</v>
      </c>
      <c r="B160">
        <v>5599</v>
      </c>
      <c r="C160">
        <v>2015</v>
      </c>
      <c r="D160">
        <v>11</v>
      </c>
      <c r="E160" s="1">
        <v>719.50000999999997</v>
      </c>
      <c r="F160" s="1">
        <v>11369.48</v>
      </c>
      <c r="G160" s="1">
        <v>1748311.35</v>
      </c>
      <c r="H160" s="1">
        <v>37662.5</v>
      </c>
      <c r="I160" s="1" t="s">
        <v>0</v>
      </c>
      <c r="J160" s="1" t="s">
        <v>0</v>
      </c>
    </row>
    <row r="161" spans="1:10" x14ac:dyDescent="0.35">
      <c r="A161" t="s">
        <v>3</v>
      </c>
      <c r="B161">
        <v>5599</v>
      </c>
      <c r="C161">
        <v>2015</v>
      </c>
      <c r="D161">
        <v>12</v>
      </c>
      <c r="E161" s="1">
        <v>731.33334000000002</v>
      </c>
      <c r="F161" s="1">
        <v>10855.97</v>
      </c>
      <c r="G161" s="1">
        <v>1662453.18</v>
      </c>
      <c r="H161" s="1">
        <v>37288</v>
      </c>
      <c r="I161" s="1" t="s">
        <v>0</v>
      </c>
      <c r="J161" s="1" t="s">
        <v>0</v>
      </c>
    </row>
    <row r="162" spans="1:10" x14ac:dyDescent="0.35">
      <c r="A162" t="s">
        <v>3</v>
      </c>
      <c r="B162">
        <v>5599</v>
      </c>
      <c r="C162">
        <v>2016</v>
      </c>
      <c r="D162">
        <v>1</v>
      </c>
      <c r="E162" s="1">
        <v>736.49999000000003</v>
      </c>
      <c r="F162" s="1">
        <v>9494.98</v>
      </c>
      <c r="G162" s="1">
        <v>1487340.06</v>
      </c>
      <c r="H162" s="1">
        <v>38969.86</v>
      </c>
      <c r="I162" s="1" t="s">
        <v>0</v>
      </c>
      <c r="J162" s="1" t="s">
        <v>0</v>
      </c>
    </row>
    <row r="163" spans="1:10" x14ac:dyDescent="0.35">
      <c r="A163" t="s">
        <v>3</v>
      </c>
      <c r="B163">
        <v>5599</v>
      </c>
      <c r="C163">
        <v>2016</v>
      </c>
      <c r="D163">
        <v>2</v>
      </c>
      <c r="E163" s="1">
        <v>695.58333000000005</v>
      </c>
      <c r="F163" s="1">
        <v>7644.12</v>
      </c>
      <c r="G163" s="1">
        <v>1205549.1000000001</v>
      </c>
      <c r="H163" s="1">
        <v>35253.46</v>
      </c>
      <c r="I163" s="1" t="s">
        <v>0</v>
      </c>
      <c r="J163" s="1" t="s">
        <v>0</v>
      </c>
    </row>
    <row r="164" spans="1:10" x14ac:dyDescent="0.35">
      <c r="A164" t="s">
        <v>3</v>
      </c>
      <c r="B164">
        <v>5599</v>
      </c>
      <c r="C164">
        <v>2016</v>
      </c>
      <c r="D164">
        <v>3</v>
      </c>
      <c r="E164" s="1">
        <v>743</v>
      </c>
      <c r="F164" s="1">
        <v>7359.93</v>
      </c>
      <c r="G164" s="1">
        <v>1185893.56</v>
      </c>
      <c r="H164" s="1">
        <v>40507.21</v>
      </c>
      <c r="I164" s="1" t="s">
        <v>0</v>
      </c>
      <c r="J164" s="1" t="s">
        <v>0</v>
      </c>
    </row>
    <row r="165" spans="1:10" x14ac:dyDescent="0.35">
      <c r="A165" t="s">
        <v>3</v>
      </c>
      <c r="B165">
        <v>5599</v>
      </c>
      <c r="C165">
        <v>2016</v>
      </c>
      <c r="D165">
        <v>4</v>
      </c>
      <c r="E165" s="1">
        <v>718.83333000000005</v>
      </c>
      <c r="F165" s="1">
        <v>6152.17</v>
      </c>
      <c r="G165" s="1">
        <v>1015034.36</v>
      </c>
      <c r="H165" s="1">
        <v>37126.04</v>
      </c>
      <c r="I165" s="1" t="s">
        <v>0</v>
      </c>
      <c r="J165" s="1" t="s">
        <v>0</v>
      </c>
    </row>
    <row r="166" spans="1:10" x14ac:dyDescent="0.35">
      <c r="A166" t="s">
        <v>3</v>
      </c>
      <c r="B166">
        <v>5599</v>
      </c>
      <c r="C166">
        <v>2016</v>
      </c>
      <c r="D166">
        <v>5</v>
      </c>
      <c r="E166" s="1">
        <v>740.5</v>
      </c>
      <c r="F166" s="1">
        <v>5865.13</v>
      </c>
      <c r="G166" s="1">
        <v>925513.84</v>
      </c>
      <c r="H166" s="1">
        <v>36147.78</v>
      </c>
      <c r="I166" s="1" t="s">
        <v>0</v>
      </c>
      <c r="J166" s="1" t="s">
        <v>0</v>
      </c>
    </row>
    <row r="167" spans="1:10" x14ac:dyDescent="0.35">
      <c r="A167" t="s">
        <v>3</v>
      </c>
      <c r="B167">
        <v>5599</v>
      </c>
      <c r="C167">
        <v>2016</v>
      </c>
      <c r="D167">
        <v>6</v>
      </c>
      <c r="E167" s="1">
        <v>703.25833</v>
      </c>
      <c r="F167" s="1">
        <v>5408.31</v>
      </c>
      <c r="G167" s="1">
        <v>870533.4</v>
      </c>
      <c r="H167" s="1">
        <v>34608.449999999997</v>
      </c>
      <c r="I167" s="1" t="s">
        <v>0</v>
      </c>
      <c r="J167" s="1" t="s">
        <v>0</v>
      </c>
    </row>
    <row r="168" spans="1:10" x14ac:dyDescent="0.35">
      <c r="A168" t="s">
        <v>3</v>
      </c>
      <c r="B168">
        <v>5599</v>
      </c>
      <c r="C168">
        <v>2016</v>
      </c>
      <c r="D168">
        <v>7</v>
      </c>
      <c r="E168" s="1">
        <v>703.72592999999995</v>
      </c>
      <c r="F168" s="1">
        <v>4533.82</v>
      </c>
      <c r="G168" s="1">
        <v>729319.16</v>
      </c>
      <c r="H168" s="1">
        <v>29940.18</v>
      </c>
      <c r="I168" s="1" t="s">
        <v>0</v>
      </c>
      <c r="J168" s="1" t="s">
        <v>0</v>
      </c>
    </row>
    <row r="169" spans="1:10" x14ac:dyDescent="0.35">
      <c r="A169" t="s">
        <v>3</v>
      </c>
      <c r="B169">
        <v>5599</v>
      </c>
      <c r="C169">
        <v>2016</v>
      </c>
      <c r="D169">
        <v>8</v>
      </c>
      <c r="E169" s="1">
        <v>285.89166999999998</v>
      </c>
      <c r="F169" s="1">
        <v>1442.03</v>
      </c>
      <c r="G169" s="1">
        <v>232557.71</v>
      </c>
      <c r="H169" s="1">
        <v>10937.14</v>
      </c>
      <c r="I169" s="1" t="s">
        <v>0</v>
      </c>
      <c r="J169" s="1" t="s">
        <v>0</v>
      </c>
    </row>
    <row r="170" spans="1:10" x14ac:dyDescent="0.35">
      <c r="A170" t="s">
        <v>3</v>
      </c>
      <c r="B170">
        <v>5599</v>
      </c>
      <c r="C170">
        <v>2016</v>
      </c>
      <c r="D170">
        <v>9</v>
      </c>
      <c r="E170" s="1">
        <v>0</v>
      </c>
      <c r="F170" s="1">
        <v>0</v>
      </c>
      <c r="G170" s="1">
        <v>0</v>
      </c>
      <c r="H170" s="1">
        <v>0</v>
      </c>
      <c r="I170" s="1" t="s">
        <v>0</v>
      </c>
      <c r="J170" s="1" t="s">
        <v>0</v>
      </c>
    </row>
    <row r="171" spans="1:10" x14ac:dyDescent="0.35">
      <c r="A171" t="s">
        <v>4</v>
      </c>
      <c r="B171">
        <v>5351</v>
      </c>
      <c r="C171">
        <v>2008</v>
      </c>
      <c r="D171">
        <v>2</v>
      </c>
      <c r="E171" s="1">
        <v>0</v>
      </c>
      <c r="F171" s="1">
        <v>0</v>
      </c>
      <c r="G171" s="1">
        <v>0</v>
      </c>
      <c r="H171" s="1">
        <v>0</v>
      </c>
      <c r="I171" s="1" t="s">
        <v>0</v>
      </c>
      <c r="J171" s="1" t="s">
        <v>0</v>
      </c>
    </row>
    <row r="172" spans="1:10" x14ac:dyDescent="0.35">
      <c r="A172" t="s">
        <v>4</v>
      </c>
      <c r="B172">
        <v>5351</v>
      </c>
      <c r="C172">
        <v>2008</v>
      </c>
      <c r="D172">
        <v>3</v>
      </c>
      <c r="E172" s="1">
        <v>0</v>
      </c>
      <c r="F172" s="1">
        <v>0</v>
      </c>
      <c r="G172" s="1">
        <v>0</v>
      </c>
      <c r="H172" s="1">
        <v>0</v>
      </c>
      <c r="I172" s="1" t="s">
        <v>0</v>
      </c>
      <c r="J172" s="1" t="s">
        <v>0</v>
      </c>
    </row>
    <row r="173" spans="1:10" x14ac:dyDescent="0.35">
      <c r="A173" t="s">
        <v>4</v>
      </c>
      <c r="B173">
        <v>5351</v>
      </c>
      <c r="C173">
        <v>2008</v>
      </c>
      <c r="D173">
        <v>4</v>
      </c>
      <c r="E173" s="1">
        <v>0</v>
      </c>
      <c r="F173" s="1">
        <v>0</v>
      </c>
      <c r="G173" s="1">
        <v>0</v>
      </c>
      <c r="H173" s="1">
        <v>0</v>
      </c>
      <c r="I173" s="1" t="s">
        <v>0</v>
      </c>
      <c r="J173" s="1" t="s">
        <v>0</v>
      </c>
    </row>
    <row r="174" spans="1:10" x14ac:dyDescent="0.35">
      <c r="A174" t="s">
        <v>4</v>
      </c>
      <c r="B174">
        <v>5351</v>
      </c>
      <c r="C174">
        <v>2008</v>
      </c>
      <c r="D174">
        <v>5</v>
      </c>
      <c r="E174" s="1">
        <v>0</v>
      </c>
      <c r="F174" s="1">
        <v>0</v>
      </c>
      <c r="G174" s="1">
        <v>0</v>
      </c>
      <c r="H174" s="1">
        <v>0</v>
      </c>
      <c r="I174" s="1" t="s">
        <v>0</v>
      </c>
      <c r="J174" s="1" t="s">
        <v>0</v>
      </c>
    </row>
    <row r="175" spans="1:10" x14ac:dyDescent="0.35">
      <c r="A175" t="s">
        <v>4</v>
      </c>
      <c r="B175">
        <v>5351</v>
      </c>
      <c r="C175">
        <v>2008</v>
      </c>
      <c r="D175">
        <v>6</v>
      </c>
      <c r="E175" s="1">
        <v>0</v>
      </c>
      <c r="F175" s="1">
        <v>0</v>
      </c>
      <c r="G175" s="1">
        <v>0</v>
      </c>
      <c r="H175" s="1">
        <v>0</v>
      </c>
      <c r="I175" s="1" t="s">
        <v>0</v>
      </c>
      <c r="J175" s="1" t="s">
        <v>0</v>
      </c>
    </row>
    <row r="176" spans="1:10" x14ac:dyDescent="0.35">
      <c r="A176" t="s">
        <v>4</v>
      </c>
      <c r="B176">
        <v>5351</v>
      </c>
      <c r="C176">
        <v>2008</v>
      </c>
      <c r="D176">
        <v>7</v>
      </c>
      <c r="E176" s="1">
        <v>437.57</v>
      </c>
      <c r="F176" s="1">
        <v>51285.08</v>
      </c>
      <c r="G176" s="1">
        <v>7538861.0700000003</v>
      </c>
      <c r="H176" s="1">
        <v>126.17</v>
      </c>
      <c r="I176" s="1" t="s">
        <v>0</v>
      </c>
      <c r="J176" s="1" t="s">
        <v>0</v>
      </c>
    </row>
    <row r="177" spans="1:10" x14ac:dyDescent="0.35">
      <c r="A177" t="s">
        <v>4</v>
      </c>
      <c r="B177">
        <v>5351</v>
      </c>
      <c r="C177">
        <v>2008</v>
      </c>
      <c r="D177">
        <v>8</v>
      </c>
      <c r="E177" s="1">
        <v>458.4</v>
      </c>
      <c r="F177" s="1">
        <v>67621.2</v>
      </c>
      <c r="G177" s="1">
        <v>9780532.3399999999</v>
      </c>
      <c r="H177" s="1">
        <v>222.53</v>
      </c>
      <c r="I177" s="1" t="s">
        <v>0</v>
      </c>
      <c r="J177" s="1" t="s">
        <v>0</v>
      </c>
    </row>
    <row r="178" spans="1:10" x14ac:dyDescent="0.35">
      <c r="A178" t="s">
        <v>4</v>
      </c>
      <c r="B178">
        <v>5351</v>
      </c>
      <c r="C178">
        <v>2008</v>
      </c>
      <c r="D178">
        <v>9</v>
      </c>
      <c r="E178" s="1">
        <v>642.70833000000005</v>
      </c>
      <c r="F178" s="1">
        <v>114596.26</v>
      </c>
      <c r="G178" s="1">
        <v>16340514.75</v>
      </c>
      <c r="H178" s="1">
        <v>275.73</v>
      </c>
      <c r="I178" s="1" t="s">
        <v>0</v>
      </c>
      <c r="J178" s="1" t="s">
        <v>0</v>
      </c>
    </row>
    <row r="179" spans="1:10" x14ac:dyDescent="0.35">
      <c r="A179" t="s">
        <v>4</v>
      </c>
      <c r="B179">
        <v>5351</v>
      </c>
      <c r="C179">
        <v>2008</v>
      </c>
      <c r="D179">
        <v>10</v>
      </c>
      <c r="E179" s="1">
        <v>742.5</v>
      </c>
      <c r="F179" s="1">
        <v>142817.06</v>
      </c>
      <c r="G179" s="1">
        <v>20326866.32</v>
      </c>
      <c r="H179" s="1">
        <v>101.25</v>
      </c>
      <c r="I179" s="1" t="s">
        <v>0</v>
      </c>
      <c r="J179" s="1" t="s">
        <v>0</v>
      </c>
    </row>
    <row r="180" spans="1:10" x14ac:dyDescent="0.35">
      <c r="A180" t="s">
        <v>4</v>
      </c>
      <c r="B180">
        <v>5351</v>
      </c>
      <c r="C180">
        <v>2008</v>
      </c>
      <c r="D180">
        <v>11</v>
      </c>
      <c r="E180" s="1">
        <v>717.83333000000005</v>
      </c>
      <c r="F180" s="1">
        <v>104409.61</v>
      </c>
      <c r="G180" s="1">
        <v>14906020.01</v>
      </c>
      <c r="H180" s="1">
        <v>189.89</v>
      </c>
      <c r="I180" s="1" t="s">
        <v>0</v>
      </c>
      <c r="J180" s="1" t="s">
        <v>0</v>
      </c>
    </row>
    <row r="181" spans="1:10" x14ac:dyDescent="0.35">
      <c r="A181" t="s">
        <v>4</v>
      </c>
      <c r="B181">
        <v>5351</v>
      </c>
      <c r="C181">
        <v>2008</v>
      </c>
      <c r="D181">
        <v>12</v>
      </c>
      <c r="E181" s="1">
        <v>744</v>
      </c>
      <c r="F181" s="1">
        <v>110199.28</v>
      </c>
      <c r="G181" s="1">
        <v>15956253.449999999</v>
      </c>
      <c r="H181" s="1">
        <v>66.540000000000006</v>
      </c>
      <c r="I181" s="1" t="s">
        <v>0</v>
      </c>
      <c r="J181" s="1" t="s">
        <v>0</v>
      </c>
    </row>
    <row r="182" spans="1:10" x14ac:dyDescent="0.35">
      <c r="A182" t="s">
        <v>4</v>
      </c>
      <c r="B182">
        <v>5351</v>
      </c>
      <c r="C182">
        <v>2009</v>
      </c>
      <c r="D182">
        <v>1</v>
      </c>
      <c r="E182" s="1">
        <v>705.16665</v>
      </c>
      <c r="F182" s="1">
        <v>115572.66</v>
      </c>
      <c r="G182" s="1">
        <v>16718455.33</v>
      </c>
      <c r="H182" s="1">
        <v>977.79</v>
      </c>
      <c r="I182" s="1" t="s">
        <v>0</v>
      </c>
      <c r="J182" s="1" t="s">
        <v>0</v>
      </c>
    </row>
    <row r="183" spans="1:10" x14ac:dyDescent="0.35">
      <c r="A183" t="s">
        <v>4</v>
      </c>
      <c r="B183">
        <v>5351</v>
      </c>
      <c r="C183">
        <v>2009</v>
      </c>
      <c r="D183">
        <v>2</v>
      </c>
      <c r="E183" s="1">
        <v>638.41668000000004</v>
      </c>
      <c r="F183" s="1">
        <v>113880.98</v>
      </c>
      <c r="G183" s="1">
        <v>16254377.439999999</v>
      </c>
      <c r="H183" s="1">
        <v>2529.2399999999998</v>
      </c>
      <c r="I183" s="1" t="s">
        <v>0</v>
      </c>
      <c r="J183" s="1" t="s">
        <v>0</v>
      </c>
    </row>
    <row r="184" spans="1:10" x14ac:dyDescent="0.35">
      <c r="A184" t="s">
        <v>4</v>
      </c>
      <c r="B184">
        <v>5351</v>
      </c>
      <c r="C184">
        <v>2009</v>
      </c>
      <c r="D184">
        <v>3</v>
      </c>
      <c r="E184" s="1">
        <v>530.80332999999996</v>
      </c>
      <c r="F184" s="1">
        <v>90644.44</v>
      </c>
      <c r="G184" s="1">
        <v>12702463.220000001</v>
      </c>
      <c r="H184" s="1">
        <v>1678.17</v>
      </c>
      <c r="I184" s="1" t="s">
        <v>0</v>
      </c>
      <c r="J184" s="1" t="s">
        <v>0</v>
      </c>
    </row>
    <row r="185" spans="1:10" x14ac:dyDescent="0.35">
      <c r="A185" t="s">
        <v>4</v>
      </c>
      <c r="B185">
        <v>5351</v>
      </c>
      <c r="C185">
        <v>2009</v>
      </c>
      <c r="D185">
        <v>4</v>
      </c>
      <c r="E185" s="1">
        <v>537.63333999999998</v>
      </c>
      <c r="F185" s="1">
        <v>86944.06</v>
      </c>
      <c r="G185" s="1">
        <v>11926656.18</v>
      </c>
      <c r="H185" s="1">
        <v>246.47</v>
      </c>
      <c r="I185" s="1" t="s">
        <v>0</v>
      </c>
      <c r="J185" s="1" t="s">
        <v>0</v>
      </c>
    </row>
    <row r="186" spans="1:10" x14ac:dyDescent="0.35">
      <c r="A186" t="s">
        <v>4</v>
      </c>
      <c r="B186">
        <v>5351</v>
      </c>
      <c r="C186">
        <v>2009</v>
      </c>
      <c r="D186">
        <v>5</v>
      </c>
      <c r="E186" s="1">
        <v>694.66666999999995</v>
      </c>
      <c r="F186" s="1">
        <v>116175.03999999999</v>
      </c>
      <c r="G186" s="1">
        <v>15944548.83</v>
      </c>
      <c r="H186" s="1">
        <v>3440.05</v>
      </c>
      <c r="I186" s="1" t="s">
        <v>0</v>
      </c>
      <c r="J186" s="1" t="s">
        <v>0</v>
      </c>
    </row>
    <row r="187" spans="1:10" x14ac:dyDescent="0.35">
      <c r="A187" t="s">
        <v>4</v>
      </c>
      <c r="B187">
        <v>5351</v>
      </c>
      <c r="C187">
        <v>2009</v>
      </c>
      <c r="D187">
        <v>6</v>
      </c>
      <c r="E187" s="1">
        <v>691.89998000000003</v>
      </c>
      <c r="F187" s="1">
        <v>86654.03</v>
      </c>
      <c r="G187" s="1">
        <v>12141881.109999999</v>
      </c>
      <c r="H187" s="1">
        <v>5731.18</v>
      </c>
      <c r="I187" s="1" t="s">
        <v>0</v>
      </c>
      <c r="J187" s="1" t="s">
        <v>0</v>
      </c>
    </row>
    <row r="188" spans="1:10" x14ac:dyDescent="0.35">
      <c r="A188" t="s">
        <v>4</v>
      </c>
      <c r="B188">
        <v>5351</v>
      </c>
      <c r="C188">
        <v>2009</v>
      </c>
      <c r="D188">
        <v>7</v>
      </c>
      <c r="E188" s="1">
        <v>742.16665999999998</v>
      </c>
      <c r="F188" s="1">
        <v>64871.82</v>
      </c>
      <c r="G188" s="1">
        <v>9127860.4900000002</v>
      </c>
      <c r="H188" s="1">
        <v>6772.73</v>
      </c>
      <c r="I188" s="1" t="s">
        <v>0</v>
      </c>
      <c r="J188" s="1" t="s">
        <v>0</v>
      </c>
    </row>
    <row r="189" spans="1:10" x14ac:dyDescent="0.35">
      <c r="A189" t="s">
        <v>4</v>
      </c>
      <c r="B189">
        <v>5351</v>
      </c>
      <c r="C189">
        <v>2009</v>
      </c>
      <c r="D189">
        <v>8</v>
      </c>
      <c r="E189" s="1">
        <v>656.82497999999998</v>
      </c>
      <c r="F189" s="1">
        <v>112493.5</v>
      </c>
      <c r="G189" s="1">
        <v>15664621.810000001</v>
      </c>
      <c r="H189" s="1">
        <v>20793.78</v>
      </c>
      <c r="I189" s="1" t="s">
        <v>0</v>
      </c>
      <c r="J189" s="1" t="s">
        <v>0</v>
      </c>
    </row>
    <row r="190" spans="1:10" x14ac:dyDescent="0.35">
      <c r="A190" t="s">
        <v>4</v>
      </c>
      <c r="B190">
        <v>5351</v>
      </c>
      <c r="C190">
        <v>2009</v>
      </c>
      <c r="D190">
        <v>9</v>
      </c>
      <c r="E190" s="1">
        <v>509.07501000000002</v>
      </c>
      <c r="F190" s="1">
        <v>90349.8</v>
      </c>
      <c r="G190" s="1">
        <v>12564633.24</v>
      </c>
      <c r="H190" s="1">
        <v>15274.84</v>
      </c>
      <c r="I190" s="1" t="s">
        <v>0</v>
      </c>
      <c r="J190" s="1" t="s">
        <v>0</v>
      </c>
    </row>
    <row r="191" spans="1:10" x14ac:dyDescent="0.35">
      <c r="A191" t="s">
        <v>4</v>
      </c>
      <c r="B191">
        <v>5351</v>
      </c>
      <c r="C191">
        <v>2009</v>
      </c>
      <c r="D191">
        <v>10</v>
      </c>
      <c r="E191" s="1">
        <v>655.42498999999998</v>
      </c>
      <c r="F191" s="1">
        <v>96707.32</v>
      </c>
      <c r="G191" s="1">
        <v>13556584.82</v>
      </c>
      <c r="H191" s="1">
        <v>26099.06</v>
      </c>
      <c r="I191" s="1" t="s">
        <v>0</v>
      </c>
      <c r="J191" s="1" t="s">
        <v>0</v>
      </c>
    </row>
    <row r="192" spans="1:10" x14ac:dyDescent="0.35">
      <c r="A192" t="s">
        <v>4</v>
      </c>
      <c r="B192">
        <v>5351</v>
      </c>
      <c r="C192">
        <v>2009</v>
      </c>
      <c r="D192">
        <v>11</v>
      </c>
      <c r="E192" s="1">
        <v>709.25000999999997</v>
      </c>
      <c r="F192" s="1">
        <v>98043.5</v>
      </c>
      <c r="G192" s="1">
        <v>13821883.66</v>
      </c>
      <c r="H192" s="1">
        <v>39016.449999999997</v>
      </c>
      <c r="I192" s="1" t="s">
        <v>0</v>
      </c>
      <c r="J192" s="1" t="s">
        <v>0</v>
      </c>
    </row>
    <row r="193" spans="1:10" x14ac:dyDescent="0.35">
      <c r="A193" t="s">
        <v>4</v>
      </c>
      <c r="B193">
        <v>5351</v>
      </c>
      <c r="C193">
        <v>2009</v>
      </c>
      <c r="D193">
        <v>12</v>
      </c>
      <c r="E193" s="1">
        <v>726.66666999999995</v>
      </c>
      <c r="F193" s="1">
        <v>89514.35</v>
      </c>
      <c r="G193" s="1">
        <v>12552907.779999999</v>
      </c>
      <c r="H193" s="1">
        <v>56173.42</v>
      </c>
      <c r="I193" s="1" t="s">
        <v>0</v>
      </c>
      <c r="J193" s="1" t="s">
        <v>0</v>
      </c>
    </row>
    <row r="194" spans="1:10" x14ac:dyDescent="0.35">
      <c r="A194" t="s">
        <v>4</v>
      </c>
      <c r="B194">
        <v>5351</v>
      </c>
      <c r="C194">
        <v>2010</v>
      </c>
      <c r="D194">
        <v>1</v>
      </c>
      <c r="E194" s="1">
        <v>742.16665999999998</v>
      </c>
      <c r="F194" s="1">
        <v>82221.25</v>
      </c>
      <c r="G194" s="1">
        <v>11561301.92</v>
      </c>
      <c r="H194" s="1">
        <v>70004.160000000003</v>
      </c>
      <c r="I194" s="1" t="s">
        <v>0</v>
      </c>
      <c r="J194" s="1" t="s">
        <v>0</v>
      </c>
    </row>
    <row r="195" spans="1:10" x14ac:dyDescent="0.35">
      <c r="A195" t="s">
        <v>4</v>
      </c>
      <c r="B195">
        <v>5351</v>
      </c>
      <c r="C195">
        <v>2010</v>
      </c>
      <c r="D195">
        <v>2</v>
      </c>
      <c r="E195" s="1">
        <v>610.17499999999995</v>
      </c>
      <c r="F195" s="1">
        <v>62092.98</v>
      </c>
      <c r="G195" s="1">
        <v>8751248.2899999991</v>
      </c>
      <c r="H195" s="1">
        <v>62000.25</v>
      </c>
      <c r="I195" s="1" t="s">
        <v>0</v>
      </c>
      <c r="J195" s="1" t="s">
        <v>0</v>
      </c>
    </row>
    <row r="196" spans="1:10" x14ac:dyDescent="0.35">
      <c r="A196" t="s">
        <v>4</v>
      </c>
      <c r="B196">
        <v>5351</v>
      </c>
      <c r="C196">
        <v>2010</v>
      </c>
      <c r="D196">
        <v>3</v>
      </c>
      <c r="E196" s="1">
        <v>654.10832000000005</v>
      </c>
      <c r="F196" s="1">
        <v>66989.25</v>
      </c>
      <c r="G196" s="1">
        <v>9421805.3599999994</v>
      </c>
      <c r="H196" s="1">
        <v>64560.85</v>
      </c>
      <c r="I196" s="1" t="s">
        <v>0</v>
      </c>
      <c r="J196" s="1" t="s">
        <v>0</v>
      </c>
    </row>
    <row r="197" spans="1:10" x14ac:dyDescent="0.35">
      <c r="A197" t="s">
        <v>4</v>
      </c>
      <c r="B197">
        <v>5351</v>
      </c>
      <c r="C197">
        <v>2010</v>
      </c>
      <c r="D197">
        <v>4</v>
      </c>
      <c r="E197" s="1">
        <v>679.80832999999996</v>
      </c>
      <c r="F197" s="1">
        <v>73035.81</v>
      </c>
      <c r="G197" s="1">
        <v>10288470.42</v>
      </c>
      <c r="H197" s="1">
        <v>69865.31</v>
      </c>
      <c r="I197" s="1" t="s">
        <v>0</v>
      </c>
      <c r="J197" s="1" t="s">
        <v>0</v>
      </c>
    </row>
    <row r="198" spans="1:10" x14ac:dyDescent="0.35">
      <c r="A198" t="s">
        <v>4</v>
      </c>
      <c r="B198">
        <v>5351</v>
      </c>
      <c r="C198">
        <v>2010</v>
      </c>
      <c r="D198">
        <v>5</v>
      </c>
      <c r="E198" s="1">
        <v>740.16666999999995</v>
      </c>
      <c r="F198" s="1">
        <v>87809.279999999999</v>
      </c>
      <c r="G198" s="1">
        <v>12490295.91</v>
      </c>
      <c r="H198" s="1">
        <v>85315.44</v>
      </c>
      <c r="I198" s="1" t="s">
        <v>0</v>
      </c>
      <c r="J198" s="1" t="s">
        <v>0</v>
      </c>
    </row>
    <row r="199" spans="1:10" x14ac:dyDescent="0.35">
      <c r="A199" t="s">
        <v>4</v>
      </c>
      <c r="B199">
        <v>5351</v>
      </c>
      <c r="C199">
        <v>2010</v>
      </c>
      <c r="D199">
        <v>6</v>
      </c>
      <c r="E199" s="1">
        <v>717.75</v>
      </c>
      <c r="F199" s="1">
        <v>75309.820000000007</v>
      </c>
      <c r="G199" s="1">
        <v>10756576.800000001</v>
      </c>
      <c r="H199" s="1">
        <v>96580.92</v>
      </c>
      <c r="I199" s="1" t="s">
        <v>0</v>
      </c>
      <c r="J199" s="1" t="s">
        <v>0</v>
      </c>
    </row>
    <row r="200" spans="1:10" x14ac:dyDescent="0.35">
      <c r="A200" t="s">
        <v>4</v>
      </c>
      <c r="B200">
        <v>5351</v>
      </c>
      <c r="C200">
        <v>2010</v>
      </c>
      <c r="D200">
        <v>7</v>
      </c>
      <c r="E200" s="1">
        <v>742.41666999999995</v>
      </c>
      <c r="F200" s="1">
        <v>69600.25</v>
      </c>
      <c r="G200" s="1">
        <v>10073534.35</v>
      </c>
      <c r="H200" s="1">
        <v>101216.35</v>
      </c>
      <c r="I200" s="1" t="s">
        <v>0</v>
      </c>
      <c r="J200" s="1" t="s">
        <v>0</v>
      </c>
    </row>
    <row r="201" spans="1:10" x14ac:dyDescent="0.35">
      <c r="A201" t="s">
        <v>4</v>
      </c>
      <c r="B201">
        <v>5351</v>
      </c>
      <c r="C201">
        <v>2010</v>
      </c>
      <c r="D201">
        <v>8</v>
      </c>
      <c r="E201" s="1">
        <v>425.1</v>
      </c>
      <c r="F201" s="1">
        <v>38413.730000000003</v>
      </c>
      <c r="G201" s="1">
        <v>5543252.2800000003</v>
      </c>
      <c r="H201" s="1">
        <v>56452.9</v>
      </c>
      <c r="I201" s="1" t="s">
        <v>0</v>
      </c>
      <c r="J201" s="1" t="s">
        <v>0</v>
      </c>
    </row>
    <row r="202" spans="1:10" x14ac:dyDescent="0.35">
      <c r="A202" t="s">
        <v>4</v>
      </c>
      <c r="B202">
        <v>5351</v>
      </c>
      <c r="C202">
        <v>2010</v>
      </c>
      <c r="D202">
        <v>9</v>
      </c>
      <c r="E202" s="1">
        <v>566.14999</v>
      </c>
      <c r="F202" s="1">
        <v>55405.21</v>
      </c>
      <c r="G202" s="1">
        <v>8260552.1900000004</v>
      </c>
      <c r="H202" s="1">
        <v>66506.820000000007</v>
      </c>
      <c r="I202" s="1" t="s">
        <v>0</v>
      </c>
      <c r="J202" s="1" t="s">
        <v>0</v>
      </c>
    </row>
    <row r="203" spans="1:10" x14ac:dyDescent="0.35">
      <c r="A203" t="s">
        <v>4</v>
      </c>
      <c r="B203">
        <v>5351</v>
      </c>
      <c r="C203">
        <v>2010</v>
      </c>
      <c r="D203">
        <v>10</v>
      </c>
      <c r="E203" s="1">
        <v>743.16665999999998</v>
      </c>
      <c r="F203" s="1">
        <v>78755.31</v>
      </c>
      <c r="G203" s="1">
        <v>11853846.58</v>
      </c>
      <c r="H203" s="1">
        <v>100949.14</v>
      </c>
      <c r="I203" s="1" t="s">
        <v>0</v>
      </c>
      <c r="J203" s="1" t="s">
        <v>0</v>
      </c>
    </row>
    <row r="204" spans="1:10" x14ac:dyDescent="0.35">
      <c r="A204" t="s">
        <v>4</v>
      </c>
      <c r="B204">
        <v>5351</v>
      </c>
      <c r="C204">
        <v>2010</v>
      </c>
      <c r="D204">
        <v>11</v>
      </c>
      <c r="E204" s="1">
        <v>683.41666999999995</v>
      </c>
      <c r="F204" s="1">
        <v>62555.48</v>
      </c>
      <c r="G204" s="1">
        <v>9485348.6799999997</v>
      </c>
      <c r="H204" s="1">
        <v>96969.98</v>
      </c>
      <c r="I204" s="1" t="s">
        <v>0</v>
      </c>
      <c r="J204" s="1" t="s">
        <v>0</v>
      </c>
    </row>
    <row r="205" spans="1:10" x14ac:dyDescent="0.35">
      <c r="A205" t="s">
        <v>4</v>
      </c>
      <c r="B205">
        <v>5351</v>
      </c>
      <c r="C205">
        <v>2010</v>
      </c>
      <c r="D205">
        <v>12</v>
      </c>
      <c r="E205" s="1">
        <v>741.5</v>
      </c>
      <c r="F205" s="1">
        <v>63886.23</v>
      </c>
      <c r="G205" s="1">
        <v>9763159.5299999993</v>
      </c>
      <c r="H205" s="1">
        <v>111640.46</v>
      </c>
      <c r="I205" s="1" t="s">
        <v>0</v>
      </c>
      <c r="J205" s="1" t="s">
        <v>0</v>
      </c>
    </row>
    <row r="206" spans="1:10" x14ac:dyDescent="0.35">
      <c r="A206" t="s">
        <v>4</v>
      </c>
      <c r="B206">
        <v>5351</v>
      </c>
      <c r="C206">
        <v>2011</v>
      </c>
      <c r="D206">
        <v>1</v>
      </c>
      <c r="E206" s="1">
        <v>744</v>
      </c>
      <c r="F206" s="1">
        <v>61328.45</v>
      </c>
      <c r="G206" s="1">
        <v>9353204.4100000001</v>
      </c>
      <c r="H206" s="1">
        <v>111168.02</v>
      </c>
      <c r="I206" s="1" t="s">
        <v>0</v>
      </c>
      <c r="J206" s="1" t="s">
        <v>0</v>
      </c>
    </row>
    <row r="207" spans="1:10" x14ac:dyDescent="0.35">
      <c r="A207" t="s">
        <v>4</v>
      </c>
      <c r="B207">
        <v>5351</v>
      </c>
      <c r="C207">
        <v>2011</v>
      </c>
      <c r="D207">
        <v>2</v>
      </c>
      <c r="E207" s="1">
        <v>561.5</v>
      </c>
      <c r="F207" s="1">
        <v>44066.31</v>
      </c>
      <c r="G207" s="1">
        <v>6830109.5899999999</v>
      </c>
      <c r="H207" s="1">
        <v>79492.13</v>
      </c>
      <c r="I207" s="1" t="s">
        <v>0</v>
      </c>
      <c r="J207" s="1" t="s">
        <v>0</v>
      </c>
    </row>
    <row r="208" spans="1:10" x14ac:dyDescent="0.35">
      <c r="A208" t="s">
        <v>4</v>
      </c>
      <c r="B208">
        <v>5351</v>
      </c>
      <c r="C208">
        <v>2011</v>
      </c>
      <c r="D208">
        <v>3</v>
      </c>
      <c r="E208" s="1">
        <v>732.5</v>
      </c>
      <c r="F208" s="1">
        <v>56709.96</v>
      </c>
      <c r="G208" s="1">
        <v>8733754.9700000007</v>
      </c>
      <c r="H208" s="1">
        <v>117498.23</v>
      </c>
      <c r="I208" s="1" t="s">
        <v>0</v>
      </c>
      <c r="J208" s="1" t="s">
        <v>0</v>
      </c>
    </row>
    <row r="209" spans="1:10" x14ac:dyDescent="0.35">
      <c r="A209" t="s">
        <v>4</v>
      </c>
      <c r="B209">
        <v>5351</v>
      </c>
      <c r="C209">
        <v>2011</v>
      </c>
      <c r="D209">
        <v>4</v>
      </c>
      <c r="E209" s="1">
        <v>717.66666999999995</v>
      </c>
      <c r="F209" s="1">
        <v>51814.239999999998</v>
      </c>
      <c r="G209" s="1">
        <v>8052242.8799999999</v>
      </c>
      <c r="H209" s="1">
        <v>122053.6</v>
      </c>
      <c r="I209" s="1" t="s">
        <v>0</v>
      </c>
      <c r="J209" s="1" t="s">
        <v>0</v>
      </c>
    </row>
    <row r="210" spans="1:10" x14ac:dyDescent="0.35">
      <c r="A210" t="s">
        <v>4</v>
      </c>
      <c r="B210">
        <v>5351</v>
      </c>
      <c r="C210">
        <v>2011</v>
      </c>
      <c r="D210">
        <v>5</v>
      </c>
      <c r="E210" s="1">
        <v>741.25</v>
      </c>
      <c r="F210" s="1">
        <v>51121.62</v>
      </c>
      <c r="G210" s="1">
        <v>7972927.6799999997</v>
      </c>
      <c r="H210" s="1">
        <v>129331.86</v>
      </c>
      <c r="I210" s="1" t="s">
        <v>0</v>
      </c>
      <c r="J210" s="1" t="s">
        <v>0</v>
      </c>
    </row>
    <row r="211" spans="1:10" x14ac:dyDescent="0.35">
      <c r="A211" t="s">
        <v>4</v>
      </c>
      <c r="B211">
        <v>5351</v>
      </c>
      <c r="C211">
        <v>2011</v>
      </c>
      <c r="D211">
        <v>6</v>
      </c>
      <c r="E211" s="1">
        <v>465.17500000000001</v>
      </c>
      <c r="F211" s="1">
        <v>31194.51</v>
      </c>
      <c r="G211" s="1">
        <v>4835912.1500000004</v>
      </c>
      <c r="H211" s="1">
        <v>81258.77</v>
      </c>
      <c r="I211" s="1" t="s">
        <v>0</v>
      </c>
      <c r="J211" s="1" t="s">
        <v>0</v>
      </c>
    </row>
    <row r="212" spans="1:10" x14ac:dyDescent="0.35">
      <c r="A212" t="s">
        <v>4</v>
      </c>
      <c r="B212">
        <v>5351</v>
      </c>
      <c r="C212">
        <v>2011</v>
      </c>
      <c r="D212">
        <v>7</v>
      </c>
      <c r="E212" s="1">
        <v>254.50833</v>
      </c>
      <c r="F212" s="1">
        <v>20211.310000000001</v>
      </c>
      <c r="G212" s="1">
        <v>3064565.93</v>
      </c>
      <c r="H212" s="1">
        <v>42012.13</v>
      </c>
      <c r="I212" s="1" t="s">
        <v>0</v>
      </c>
      <c r="J212" s="1" t="s">
        <v>0</v>
      </c>
    </row>
    <row r="213" spans="1:10" x14ac:dyDescent="0.35">
      <c r="A213" t="s">
        <v>4</v>
      </c>
      <c r="B213">
        <v>5351</v>
      </c>
      <c r="C213">
        <v>2011</v>
      </c>
      <c r="D213">
        <v>8</v>
      </c>
      <c r="E213" s="1">
        <v>652.32500000000005</v>
      </c>
      <c r="F213" s="1">
        <v>49730.28</v>
      </c>
      <c r="G213" s="1">
        <v>7681607.8899999997</v>
      </c>
      <c r="H213" s="1">
        <v>108934.77</v>
      </c>
      <c r="I213" s="1" t="s">
        <v>0</v>
      </c>
      <c r="J213" s="1" t="s">
        <v>0</v>
      </c>
    </row>
    <row r="214" spans="1:10" x14ac:dyDescent="0.35">
      <c r="A214" t="s">
        <v>4</v>
      </c>
      <c r="B214">
        <v>5351</v>
      </c>
      <c r="C214">
        <v>2011</v>
      </c>
      <c r="D214">
        <v>9</v>
      </c>
      <c r="E214" s="1">
        <v>708</v>
      </c>
      <c r="F214" s="1">
        <v>51053.13</v>
      </c>
      <c r="G214" s="1">
        <v>8021384.1799999997</v>
      </c>
      <c r="H214" s="1">
        <v>133957.60999999999</v>
      </c>
      <c r="I214" s="1" t="s">
        <v>0</v>
      </c>
      <c r="J214" s="1" t="s">
        <v>0</v>
      </c>
    </row>
    <row r="215" spans="1:10" x14ac:dyDescent="0.35">
      <c r="A215" t="s">
        <v>4</v>
      </c>
      <c r="B215">
        <v>5351</v>
      </c>
      <c r="C215">
        <v>2011</v>
      </c>
      <c r="D215">
        <v>10</v>
      </c>
      <c r="E215" s="1">
        <v>327.07499000000001</v>
      </c>
      <c r="F215" s="1">
        <v>21807.23</v>
      </c>
      <c r="G215" s="1">
        <v>3406338.4</v>
      </c>
      <c r="H215" s="1">
        <v>56487.87</v>
      </c>
      <c r="I215" s="1" t="s">
        <v>0</v>
      </c>
      <c r="J215" s="1" t="s">
        <v>0</v>
      </c>
    </row>
    <row r="216" spans="1:10" x14ac:dyDescent="0.35">
      <c r="A216" t="s">
        <v>4</v>
      </c>
      <c r="B216">
        <v>5351</v>
      </c>
      <c r="C216">
        <v>2011</v>
      </c>
      <c r="D216">
        <v>11</v>
      </c>
      <c r="E216" s="1">
        <v>464.30833000000001</v>
      </c>
      <c r="F216" s="1">
        <v>35043.89</v>
      </c>
      <c r="G216" s="1">
        <v>5381237.5800000001</v>
      </c>
      <c r="H216" s="1">
        <v>73586.39</v>
      </c>
      <c r="I216" s="1" t="s">
        <v>0</v>
      </c>
      <c r="J216" s="1" t="s">
        <v>0</v>
      </c>
    </row>
    <row r="217" spans="1:10" x14ac:dyDescent="0.35">
      <c r="A217" t="s">
        <v>4</v>
      </c>
      <c r="B217">
        <v>5351</v>
      </c>
      <c r="C217">
        <v>2011</v>
      </c>
      <c r="D217">
        <v>12</v>
      </c>
      <c r="E217" s="1">
        <v>436.65001000000001</v>
      </c>
      <c r="F217" s="1">
        <v>34166.400000000001</v>
      </c>
      <c r="G217" s="1">
        <v>5142969.72</v>
      </c>
      <c r="H217" s="1">
        <v>74442.899999999994</v>
      </c>
      <c r="I217" s="1" t="s">
        <v>0</v>
      </c>
      <c r="J217" s="1" t="s">
        <v>0</v>
      </c>
    </row>
    <row r="218" spans="1:10" x14ac:dyDescent="0.35">
      <c r="A218" t="s">
        <v>4</v>
      </c>
      <c r="B218">
        <v>5351</v>
      </c>
      <c r="C218">
        <v>2012</v>
      </c>
      <c r="D218">
        <v>1</v>
      </c>
      <c r="E218" s="1">
        <v>363.81666999999999</v>
      </c>
      <c r="F218" s="1">
        <v>27309.23</v>
      </c>
      <c r="G218" s="1">
        <v>4156158.72</v>
      </c>
      <c r="H218" s="1">
        <v>57518.38</v>
      </c>
      <c r="I218" s="1" t="s">
        <v>0</v>
      </c>
      <c r="J218" s="1" t="s">
        <v>0</v>
      </c>
    </row>
    <row r="219" spans="1:10" x14ac:dyDescent="0.35">
      <c r="A219" t="s">
        <v>4</v>
      </c>
      <c r="B219">
        <v>5351</v>
      </c>
      <c r="C219">
        <v>2012</v>
      </c>
      <c r="D219">
        <v>2</v>
      </c>
      <c r="E219" s="1">
        <v>692.66665999999998</v>
      </c>
      <c r="F219" s="1">
        <v>36797.660000000003</v>
      </c>
      <c r="G219" s="1">
        <v>5598558.9299999997</v>
      </c>
      <c r="H219" s="1">
        <v>55275.839999999997</v>
      </c>
      <c r="I219" s="1" t="s">
        <v>0</v>
      </c>
      <c r="J219" s="1" t="s">
        <v>0</v>
      </c>
    </row>
    <row r="220" spans="1:10" x14ac:dyDescent="0.35">
      <c r="A220" t="s">
        <v>4</v>
      </c>
      <c r="B220">
        <v>5351</v>
      </c>
      <c r="C220">
        <v>2012</v>
      </c>
      <c r="D220">
        <v>3</v>
      </c>
      <c r="E220" s="1">
        <v>740.83334000000002</v>
      </c>
      <c r="F220" s="1">
        <v>34745.589999999997</v>
      </c>
      <c r="G220" s="1">
        <v>5378188.6699999999</v>
      </c>
      <c r="H220" s="1">
        <v>60225.91</v>
      </c>
      <c r="I220" s="1" t="s">
        <v>0</v>
      </c>
      <c r="J220" s="1" t="s">
        <v>0</v>
      </c>
    </row>
    <row r="221" spans="1:10" x14ac:dyDescent="0.35">
      <c r="A221" t="s">
        <v>4</v>
      </c>
      <c r="B221">
        <v>5351</v>
      </c>
      <c r="C221">
        <v>2012</v>
      </c>
      <c r="D221">
        <v>4</v>
      </c>
      <c r="E221" s="1">
        <v>720</v>
      </c>
      <c r="F221" s="1">
        <v>36509.79</v>
      </c>
      <c r="G221" s="1">
        <v>5673229.8200000003</v>
      </c>
      <c r="H221" s="1">
        <v>72811.240000000005</v>
      </c>
      <c r="I221" s="1" t="s">
        <v>0</v>
      </c>
      <c r="J221" s="1" t="s">
        <v>0</v>
      </c>
    </row>
    <row r="222" spans="1:10" x14ac:dyDescent="0.35">
      <c r="A222" t="s">
        <v>4</v>
      </c>
      <c r="B222">
        <v>5351</v>
      </c>
      <c r="C222">
        <v>2012</v>
      </c>
      <c r="D222">
        <v>5</v>
      </c>
      <c r="E222" s="1">
        <v>741.08334000000002</v>
      </c>
      <c r="F222" s="1">
        <v>35051.96</v>
      </c>
      <c r="G222" s="1">
        <v>5495387.9299999997</v>
      </c>
      <c r="H222" s="1">
        <v>82877.31</v>
      </c>
      <c r="I222" s="1" t="s">
        <v>0</v>
      </c>
      <c r="J222" s="1" t="s">
        <v>0</v>
      </c>
    </row>
    <row r="223" spans="1:10" x14ac:dyDescent="0.35">
      <c r="A223" t="s">
        <v>4</v>
      </c>
      <c r="B223">
        <v>5351</v>
      </c>
      <c r="C223">
        <v>2012</v>
      </c>
      <c r="D223">
        <v>6</v>
      </c>
      <c r="E223" s="1">
        <v>711.16666999999995</v>
      </c>
      <c r="F223" s="1">
        <v>31665.55</v>
      </c>
      <c r="G223" s="1">
        <v>4980411.28</v>
      </c>
      <c r="H223" s="1">
        <v>80184.2</v>
      </c>
      <c r="I223" s="1" t="s">
        <v>0</v>
      </c>
      <c r="J223" s="1" t="s">
        <v>0</v>
      </c>
    </row>
    <row r="224" spans="1:10" x14ac:dyDescent="0.35">
      <c r="A224" t="s">
        <v>4</v>
      </c>
      <c r="B224">
        <v>5351</v>
      </c>
      <c r="C224">
        <v>2012</v>
      </c>
      <c r="D224">
        <v>7</v>
      </c>
      <c r="E224" s="1">
        <v>744</v>
      </c>
      <c r="F224" s="1">
        <v>32960.699999999997</v>
      </c>
      <c r="G224" s="1">
        <v>5181262.4800000004</v>
      </c>
      <c r="H224" s="1">
        <v>83969.56</v>
      </c>
      <c r="I224" s="1" t="s">
        <v>0</v>
      </c>
      <c r="J224" s="1" t="s">
        <v>0</v>
      </c>
    </row>
    <row r="225" spans="1:10" x14ac:dyDescent="0.35">
      <c r="A225" t="s">
        <v>4</v>
      </c>
      <c r="B225">
        <v>5351</v>
      </c>
      <c r="C225">
        <v>2012</v>
      </c>
      <c r="D225">
        <v>8</v>
      </c>
      <c r="E225" s="1">
        <v>288.625</v>
      </c>
      <c r="F225" s="1">
        <v>12689.84</v>
      </c>
      <c r="G225" s="1">
        <v>1974233.52</v>
      </c>
      <c r="H225" s="1">
        <v>33257.32</v>
      </c>
      <c r="I225" s="1" t="s">
        <v>0</v>
      </c>
      <c r="J225" s="1" t="s">
        <v>0</v>
      </c>
    </row>
    <row r="226" spans="1:10" x14ac:dyDescent="0.35">
      <c r="A226" t="s">
        <v>4</v>
      </c>
      <c r="B226">
        <v>5351</v>
      </c>
      <c r="C226">
        <v>2012</v>
      </c>
      <c r="D226">
        <v>9</v>
      </c>
      <c r="E226" s="1">
        <v>30.783329999999999</v>
      </c>
      <c r="F226" s="1">
        <v>1655.08</v>
      </c>
      <c r="G226" s="1">
        <v>245981.03</v>
      </c>
      <c r="H226" s="1">
        <v>2918.19</v>
      </c>
      <c r="I226" s="1" t="s">
        <v>0</v>
      </c>
      <c r="J226" s="1" t="s">
        <v>0</v>
      </c>
    </row>
    <row r="227" spans="1:10" x14ac:dyDescent="0.35">
      <c r="A227" t="s">
        <v>4</v>
      </c>
      <c r="B227">
        <v>5351</v>
      </c>
      <c r="C227">
        <v>2012</v>
      </c>
      <c r="D227">
        <v>10</v>
      </c>
      <c r="E227" s="1">
        <v>610.17499999999995</v>
      </c>
      <c r="F227" s="1">
        <v>33944.019999999997</v>
      </c>
      <c r="G227" s="1">
        <v>5155057.8499999996</v>
      </c>
      <c r="H227" s="1">
        <v>60061.38</v>
      </c>
      <c r="I227" s="1" t="s">
        <v>0</v>
      </c>
      <c r="J227" s="1" t="s">
        <v>0</v>
      </c>
    </row>
    <row r="228" spans="1:10" x14ac:dyDescent="0.35">
      <c r="A228" t="s">
        <v>4</v>
      </c>
      <c r="B228">
        <v>5351</v>
      </c>
      <c r="C228">
        <v>2012</v>
      </c>
      <c r="D228">
        <v>11</v>
      </c>
      <c r="E228" s="1">
        <v>720</v>
      </c>
      <c r="F228" s="1">
        <v>34931.660000000003</v>
      </c>
      <c r="G228" s="1">
        <v>5485685.3099999996</v>
      </c>
      <c r="H228" s="1">
        <v>87226.64</v>
      </c>
      <c r="I228" s="1" t="s">
        <v>0</v>
      </c>
      <c r="J228" s="1" t="s">
        <v>0</v>
      </c>
    </row>
    <row r="229" spans="1:10" x14ac:dyDescent="0.35">
      <c r="A229" t="s">
        <v>4</v>
      </c>
      <c r="B229">
        <v>5351</v>
      </c>
      <c r="C229">
        <v>2012</v>
      </c>
      <c r="D229">
        <v>12</v>
      </c>
      <c r="E229" s="1">
        <v>710.99999000000003</v>
      </c>
      <c r="F229" s="1">
        <v>30122.89</v>
      </c>
      <c r="G229" s="1">
        <v>4854889.04</v>
      </c>
      <c r="H229" s="1">
        <v>93523.46</v>
      </c>
      <c r="I229" s="1" t="s">
        <v>0</v>
      </c>
      <c r="J229" s="1" t="s">
        <v>0</v>
      </c>
    </row>
    <row r="230" spans="1:10" x14ac:dyDescent="0.35">
      <c r="A230" t="s">
        <v>4</v>
      </c>
      <c r="B230">
        <v>5351</v>
      </c>
      <c r="C230">
        <v>2013</v>
      </c>
      <c r="D230">
        <v>1</v>
      </c>
      <c r="E230" s="1">
        <v>744</v>
      </c>
      <c r="F230" s="1">
        <v>30184.799999999999</v>
      </c>
      <c r="G230" s="1">
        <v>4834717.2</v>
      </c>
      <c r="H230" s="1">
        <v>99784.43</v>
      </c>
      <c r="I230" s="1" t="s">
        <v>0</v>
      </c>
      <c r="J230" s="1" t="s">
        <v>0</v>
      </c>
    </row>
    <row r="231" spans="1:10" x14ac:dyDescent="0.35">
      <c r="A231" t="s">
        <v>4</v>
      </c>
      <c r="B231">
        <v>5351</v>
      </c>
      <c r="C231">
        <v>2013</v>
      </c>
      <c r="D231">
        <v>2</v>
      </c>
      <c r="E231" s="1">
        <v>667.91666999999995</v>
      </c>
      <c r="F231" s="1">
        <v>26595.53</v>
      </c>
      <c r="G231" s="1">
        <v>4196331.8499999996</v>
      </c>
      <c r="H231" s="1">
        <v>92120.59</v>
      </c>
      <c r="I231" s="1" t="s">
        <v>0</v>
      </c>
      <c r="J231" s="1" t="s">
        <v>0</v>
      </c>
    </row>
    <row r="232" spans="1:10" x14ac:dyDescent="0.35">
      <c r="A232" t="s">
        <v>4</v>
      </c>
      <c r="B232">
        <v>5351</v>
      </c>
      <c r="C232">
        <v>2013</v>
      </c>
      <c r="D232">
        <v>3</v>
      </c>
      <c r="E232" s="1">
        <v>508.30167</v>
      </c>
      <c r="F232" s="1">
        <v>18816.52</v>
      </c>
      <c r="G232" s="1">
        <v>2783792.79</v>
      </c>
      <c r="H232" s="1">
        <v>70618.720000000001</v>
      </c>
      <c r="I232" s="1" t="s">
        <v>0</v>
      </c>
      <c r="J232" s="1" t="s">
        <v>0</v>
      </c>
    </row>
    <row r="233" spans="1:10" x14ac:dyDescent="0.35">
      <c r="A233" t="s">
        <v>4</v>
      </c>
      <c r="B233">
        <v>5351</v>
      </c>
      <c r="C233">
        <v>2013</v>
      </c>
      <c r="D233">
        <v>4</v>
      </c>
      <c r="E233" s="1">
        <v>557.33333000000005</v>
      </c>
      <c r="F233" s="1">
        <v>22875.42</v>
      </c>
      <c r="G233" s="1">
        <v>3676256.95</v>
      </c>
      <c r="H233" s="1">
        <v>79450.259999999995</v>
      </c>
      <c r="I233" s="1" t="s">
        <v>0</v>
      </c>
      <c r="J233" s="1" t="s">
        <v>0</v>
      </c>
    </row>
    <row r="234" spans="1:10" x14ac:dyDescent="0.35">
      <c r="A234" t="s">
        <v>4</v>
      </c>
      <c r="B234">
        <v>5351</v>
      </c>
      <c r="C234">
        <v>2013</v>
      </c>
      <c r="D234">
        <v>5</v>
      </c>
      <c r="E234" s="1">
        <v>733.50000999999997</v>
      </c>
      <c r="F234" s="1">
        <v>27661.53</v>
      </c>
      <c r="G234" s="1">
        <v>4525932.12</v>
      </c>
      <c r="H234" s="1">
        <v>109553.2</v>
      </c>
      <c r="I234" s="1" t="s">
        <v>0</v>
      </c>
      <c r="J234" s="1" t="s">
        <v>0</v>
      </c>
    </row>
    <row r="235" spans="1:10" x14ac:dyDescent="0.35">
      <c r="A235" t="s">
        <v>4</v>
      </c>
      <c r="B235">
        <v>5351</v>
      </c>
      <c r="C235">
        <v>2013</v>
      </c>
      <c r="D235">
        <v>6</v>
      </c>
      <c r="E235" s="1">
        <v>630.08333000000005</v>
      </c>
      <c r="F235" s="1">
        <v>22298.26</v>
      </c>
      <c r="G235" s="1">
        <v>3652742.89</v>
      </c>
      <c r="H235" s="1">
        <v>93413.24</v>
      </c>
      <c r="I235" s="1" t="s">
        <v>0</v>
      </c>
      <c r="J235" s="1" t="s">
        <v>0</v>
      </c>
    </row>
    <row r="236" spans="1:10" x14ac:dyDescent="0.35">
      <c r="A236" t="s">
        <v>4</v>
      </c>
      <c r="B236">
        <v>5351</v>
      </c>
      <c r="C236">
        <v>2013</v>
      </c>
      <c r="D236">
        <v>7</v>
      </c>
      <c r="E236" s="1">
        <v>660.84167000000002</v>
      </c>
      <c r="F236" s="1">
        <v>22602.78</v>
      </c>
      <c r="G236" s="1">
        <v>3553396.55</v>
      </c>
      <c r="H236" s="1">
        <v>94589.45</v>
      </c>
      <c r="I236" s="1" t="s">
        <v>0</v>
      </c>
      <c r="J236" s="1" t="s">
        <v>0</v>
      </c>
    </row>
    <row r="237" spans="1:10" x14ac:dyDescent="0.35">
      <c r="A237" t="s">
        <v>4</v>
      </c>
      <c r="B237">
        <v>5351</v>
      </c>
      <c r="C237">
        <v>2013</v>
      </c>
      <c r="D237">
        <v>8</v>
      </c>
      <c r="E237" s="1">
        <v>687.82500000000005</v>
      </c>
      <c r="F237" s="1">
        <v>21666.9</v>
      </c>
      <c r="G237" s="1">
        <v>3259563.55</v>
      </c>
      <c r="H237" s="1">
        <v>91453.17</v>
      </c>
      <c r="I237" s="1" t="s">
        <v>0</v>
      </c>
      <c r="J237" s="1" t="s">
        <v>0</v>
      </c>
    </row>
    <row r="238" spans="1:10" x14ac:dyDescent="0.35">
      <c r="A238" t="s">
        <v>4</v>
      </c>
      <c r="B238">
        <v>5351</v>
      </c>
      <c r="C238">
        <v>2013</v>
      </c>
      <c r="D238">
        <v>9</v>
      </c>
      <c r="E238" s="1">
        <v>626.82500000000005</v>
      </c>
      <c r="F238" s="1">
        <v>17870.72</v>
      </c>
      <c r="G238" s="1">
        <v>2707856.27</v>
      </c>
      <c r="H238" s="1">
        <v>92677.05</v>
      </c>
      <c r="I238" s="1" t="s">
        <v>0</v>
      </c>
      <c r="J238" s="1" t="s">
        <v>0</v>
      </c>
    </row>
    <row r="239" spans="1:10" x14ac:dyDescent="0.35">
      <c r="A239" t="s">
        <v>4</v>
      </c>
      <c r="B239">
        <v>5351</v>
      </c>
      <c r="C239">
        <v>2013</v>
      </c>
      <c r="D239">
        <v>10</v>
      </c>
      <c r="E239" s="1">
        <v>658.66665999999998</v>
      </c>
      <c r="F239" s="1">
        <v>18441.11</v>
      </c>
      <c r="G239" s="1">
        <v>2757135.18</v>
      </c>
      <c r="H239" s="1">
        <v>96753.57</v>
      </c>
      <c r="I239" s="1" t="s">
        <v>0</v>
      </c>
      <c r="J239" s="1" t="s">
        <v>0</v>
      </c>
    </row>
    <row r="240" spans="1:10" x14ac:dyDescent="0.35">
      <c r="A240" t="s">
        <v>4</v>
      </c>
      <c r="B240">
        <v>5351</v>
      </c>
      <c r="C240">
        <v>2013</v>
      </c>
      <c r="D240">
        <v>11</v>
      </c>
      <c r="E240" s="1">
        <v>681.25</v>
      </c>
      <c r="F240" s="1">
        <v>19248.66</v>
      </c>
      <c r="G240" s="1">
        <v>2853579.7</v>
      </c>
      <c r="H240" s="1">
        <v>103737.87</v>
      </c>
      <c r="I240" s="1" t="s">
        <v>0</v>
      </c>
      <c r="J240" s="1" t="s">
        <v>0</v>
      </c>
    </row>
    <row r="241" spans="1:10" x14ac:dyDescent="0.35">
      <c r="A241" t="s">
        <v>4</v>
      </c>
      <c r="B241">
        <v>5351</v>
      </c>
      <c r="C241">
        <v>2013</v>
      </c>
      <c r="D241">
        <v>12</v>
      </c>
      <c r="E241" s="1">
        <v>630.08333000000005</v>
      </c>
      <c r="F241" s="1">
        <v>15495.97</v>
      </c>
      <c r="G241" s="1">
        <v>2330523.9900000002</v>
      </c>
      <c r="H241" s="1">
        <v>97307.32</v>
      </c>
      <c r="I241" s="1" t="s">
        <v>0</v>
      </c>
      <c r="J241" s="1" t="s">
        <v>0</v>
      </c>
    </row>
    <row r="242" spans="1:10" x14ac:dyDescent="0.35">
      <c r="A242" t="s">
        <v>4</v>
      </c>
      <c r="B242">
        <v>5351</v>
      </c>
      <c r="C242">
        <v>2014</v>
      </c>
      <c r="D242">
        <v>1</v>
      </c>
      <c r="E242" s="1">
        <v>673.25</v>
      </c>
      <c r="F242" s="1">
        <v>16686.580000000002</v>
      </c>
      <c r="G242" s="1">
        <v>2426753.21</v>
      </c>
      <c r="H242" s="1">
        <v>106725.74</v>
      </c>
      <c r="I242" s="1" t="s">
        <v>0</v>
      </c>
      <c r="J242" s="1" t="s">
        <v>0</v>
      </c>
    </row>
    <row r="243" spans="1:10" x14ac:dyDescent="0.35">
      <c r="A243" t="s">
        <v>4</v>
      </c>
      <c r="B243">
        <v>5351</v>
      </c>
      <c r="C243">
        <v>2014</v>
      </c>
      <c r="D243">
        <v>2</v>
      </c>
      <c r="E243" s="1">
        <v>598.60834</v>
      </c>
      <c r="F243" s="1">
        <v>14766.13</v>
      </c>
      <c r="G243" s="1">
        <v>2161271.5699999998</v>
      </c>
      <c r="H243" s="1">
        <v>96430.28</v>
      </c>
      <c r="I243" s="1" t="s">
        <v>0</v>
      </c>
      <c r="J243" s="1" t="s">
        <v>0</v>
      </c>
    </row>
    <row r="244" spans="1:10" x14ac:dyDescent="0.35">
      <c r="A244" t="s">
        <v>4</v>
      </c>
      <c r="B244">
        <v>5351</v>
      </c>
      <c r="C244">
        <v>2014</v>
      </c>
      <c r="D244">
        <v>3</v>
      </c>
      <c r="E244" s="1">
        <v>677.16665999999998</v>
      </c>
      <c r="F244" s="1">
        <v>14954.84</v>
      </c>
      <c r="G244" s="1">
        <v>2196383.02</v>
      </c>
      <c r="H244" s="1">
        <v>101501.18</v>
      </c>
      <c r="I244" s="1" t="s">
        <v>0</v>
      </c>
      <c r="J244" s="1" t="s">
        <v>0</v>
      </c>
    </row>
    <row r="245" spans="1:10" x14ac:dyDescent="0.35">
      <c r="A245" t="s">
        <v>4</v>
      </c>
      <c r="B245">
        <v>5351</v>
      </c>
      <c r="C245">
        <v>2014</v>
      </c>
      <c r="D245">
        <v>4</v>
      </c>
      <c r="E245" s="1">
        <v>701.45833000000005</v>
      </c>
      <c r="F245" s="1">
        <v>16572.240000000002</v>
      </c>
      <c r="G245" s="1">
        <v>2398888.09</v>
      </c>
      <c r="H245" s="1">
        <v>104862.29</v>
      </c>
      <c r="I245" s="1" t="s">
        <v>0</v>
      </c>
      <c r="J245" s="1" t="s">
        <v>0</v>
      </c>
    </row>
    <row r="246" spans="1:10" x14ac:dyDescent="0.35">
      <c r="A246" t="s">
        <v>4</v>
      </c>
      <c r="B246">
        <v>5351</v>
      </c>
      <c r="C246">
        <v>2014</v>
      </c>
      <c r="D246">
        <v>5</v>
      </c>
      <c r="E246" s="1">
        <v>701.5</v>
      </c>
      <c r="F246" s="1">
        <v>13637.02</v>
      </c>
      <c r="G246" s="1">
        <v>1943519.37</v>
      </c>
      <c r="H246" s="1">
        <v>98851.21</v>
      </c>
      <c r="I246" s="1" t="s">
        <v>0</v>
      </c>
      <c r="J246" s="1" t="s">
        <v>0</v>
      </c>
    </row>
    <row r="247" spans="1:10" x14ac:dyDescent="0.35">
      <c r="A247" t="s">
        <v>4</v>
      </c>
      <c r="B247">
        <v>5351</v>
      </c>
      <c r="C247">
        <v>2014</v>
      </c>
      <c r="D247">
        <v>6</v>
      </c>
      <c r="E247" s="1">
        <v>710</v>
      </c>
      <c r="F247" s="1">
        <v>13257.99</v>
      </c>
      <c r="G247" s="1">
        <v>1951326.48</v>
      </c>
      <c r="H247" s="1">
        <v>103420.97</v>
      </c>
      <c r="I247" s="1" t="s">
        <v>0</v>
      </c>
      <c r="J247" s="1" t="s">
        <v>0</v>
      </c>
    </row>
    <row r="248" spans="1:10" x14ac:dyDescent="0.35">
      <c r="A248" t="s">
        <v>4</v>
      </c>
      <c r="B248">
        <v>5351</v>
      </c>
      <c r="C248">
        <v>2014</v>
      </c>
      <c r="D248">
        <v>7</v>
      </c>
      <c r="E248" s="1">
        <v>743.08334000000002</v>
      </c>
      <c r="F248" s="1">
        <v>13495.98</v>
      </c>
      <c r="G248" s="1">
        <v>2012912.6399999999</v>
      </c>
      <c r="H248" s="1">
        <v>99765.119999999995</v>
      </c>
      <c r="I248" s="1" t="s">
        <v>0</v>
      </c>
      <c r="J248" s="1" t="s">
        <v>0</v>
      </c>
    </row>
    <row r="249" spans="1:10" x14ac:dyDescent="0.35">
      <c r="A249" t="s">
        <v>4</v>
      </c>
      <c r="B249">
        <v>5351</v>
      </c>
      <c r="C249">
        <v>2014</v>
      </c>
      <c r="D249">
        <v>8</v>
      </c>
      <c r="E249" s="1">
        <v>599.78332999999998</v>
      </c>
      <c r="F249" s="1">
        <v>8443.73</v>
      </c>
      <c r="G249" s="1">
        <v>1333766.6399999999</v>
      </c>
      <c r="H249" s="1">
        <v>82815.839999999997</v>
      </c>
      <c r="I249" s="1" t="s">
        <v>0</v>
      </c>
      <c r="J249" s="1" t="s">
        <v>0</v>
      </c>
    </row>
    <row r="250" spans="1:10" x14ac:dyDescent="0.35">
      <c r="A250" t="s">
        <v>4</v>
      </c>
      <c r="B250">
        <v>5351</v>
      </c>
      <c r="C250">
        <v>2014</v>
      </c>
      <c r="D250">
        <v>9</v>
      </c>
      <c r="E250" s="1">
        <v>689.66665999999998</v>
      </c>
      <c r="F250" s="1">
        <v>9622.2099999999991</v>
      </c>
      <c r="G250" s="1">
        <v>1516704.37</v>
      </c>
      <c r="H250" s="1">
        <v>97941.37</v>
      </c>
      <c r="I250" s="1" t="s">
        <v>0</v>
      </c>
      <c r="J250" s="1" t="s">
        <v>0</v>
      </c>
    </row>
    <row r="251" spans="1:10" x14ac:dyDescent="0.35">
      <c r="A251" t="s">
        <v>4</v>
      </c>
      <c r="B251">
        <v>5351</v>
      </c>
      <c r="C251">
        <v>2014</v>
      </c>
      <c r="D251">
        <v>10</v>
      </c>
      <c r="E251" s="1">
        <v>745</v>
      </c>
      <c r="F251" s="1">
        <v>10076.219999999999</v>
      </c>
      <c r="G251" s="1">
        <v>1558794.24</v>
      </c>
      <c r="H251" s="1">
        <v>104963.4</v>
      </c>
      <c r="I251" s="1" t="s">
        <v>0</v>
      </c>
      <c r="J251" s="1" t="s">
        <v>0</v>
      </c>
    </row>
    <row r="252" spans="1:10" x14ac:dyDescent="0.35">
      <c r="A252" t="s">
        <v>4</v>
      </c>
      <c r="B252">
        <v>5351</v>
      </c>
      <c r="C252">
        <v>2014</v>
      </c>
      <c r="D252">
        <v>11</v>
      </c>
      <c r="E252" s="1">
        <v>708.5</v>
      </c>
      <c r="F252" s="1">
        <v>10386.41</v>
      </c>
      <c r="G252" s="1">
        <v>1643092.74</v>
      </c>
      <c r="H252" s="1">
        <v>103384.87</v>
      </c>
      <c r="I252" s="1" t="s">
        <v>0</v>
      </c>
      <c r="J252" s="1" t="s">
        <v>0</v>
      </c>
    </row>
    <row r="253" spans="1:10" x14ac:dyDescent="0.35">
      <c r="A253" t="s">
        <v>4</v>
      </c>
      <c r="B253">
        <v>5351</v>
      </c>
      <c r="C253">
        <v>2014</v>
      </c>
      <c r="D253">
        <v>12</v>
      </c>
      <c r="E253" s="1">
        <v>740.83334000000002</v>
      </c>
      <c r="F253" s="1">
        <v>9665.11</v>
      </c>
      <c r="G253" s="1">
        <v>1601950.3</v>
      </c>
      <c r="H253" s="1">
        <v>100254.94</v>
      </c>
      <c r="I253" s="1" t="s">
        <v>0</v>
      </c>
      <c r="J253" s="1" t="s">
        <v>0</v>
      </c>
    </row>
    <row r="254" spans="1:10" x14ac:dyDescent="0.35">
      <c r="A254" t="s">
        <v>4</v>
      </c>
      <c r="B254">
        <v>5351</v>
      </c>
      <c r="C254">
        <v>2015</v>
      </c>
      <c r="D254">
        <v>1</v>
      </c>
      <c r="E254" s="1">
        <v>718.13333</v>
      </c>
      <c r="F254" s="1">
        <v>9120.98</v>
      </c>
      <c r="G254" s="1">
        <v>1357132.6</v>
      </c>
      <c r="H254" s="1">
        <v>95024.85</v>
      </c>
      <c r="I254" s="1" t="s">
        <v>0</v>
      </c>
      <c r="J254" s="1" t="s">
        <v>0</v>
      </c>
    </row>
    <row r="255" spans="1:10" x14ac:dyDescent="0.35">
      <c r="A255" t="s">
        <v>4</v>
      </c>
      <c r="B255">
        <v>5351</v>
      </c>
      <c r="C255">
        <v>2015</v>
      </c>
      <c r="D255">
        <v>2</v>
      </c>
      <c r="E255" s="1">
        <v>655.05832999999996</v>
      </c>
      <c r="F255" s="1">
        <v>7178.8</v>
      </c>
      <c r="G255" s="1">
        <v>1092571.04</v>
      </c>
      <c r="H255" s="1">
        <v>91844.46</v>
      </c>
      <c r="I255" s="1" t="s">
        <v>0</v>
      </c>
      <c r="J255" s="1" t="s">
        <v>0</v>
      </c>
    </row>
    <row r="256" spans="1:10" x14ac:dyDescent="0.35">
      <c r="A256" t="s">
        <v>4</v>
      </c>
      <c r="B256">
        <v>5351</v>
      </c>
      <c r="C256">
        <v>2015</v>
      </c>
      <c r="D256">
        <v>3</v>
      </c>
      <c r="E256" s="1">
        <v>744</v>
      </c>
      <c r="F256" s="1">
        <v>8069.04</v>
      </c>
      <c r="G256" s="1">
        <v>1195524.25</v>
      </c>
      <c r="H256" s="1">
        <v>107454.33</v>
      </c>
      <c r="I256" s="1" t="s">
        <v>0</v>
      </c>
      <c r="J256" s="1" t="s">
        <v>0</v>
      </c>
    </row>
    <row r="257" spans="1:10" x14ac:dyDescent="0.35">
      <c r="A257" t="s">
        <v>4</v>
      </c>
      <c r="B257">
        <v>5351</v>
      </c>
      <c r="C257">
        <v>2015</v>
      </c>
      <c r="D257">
        <v>4</v>
      </c>
      <c r="E257" s="1">
        <v>720</v>
      </c>
      <c r="F257" s="1">
        <v>7687.2</v>
      </c>
      <c r="G257" s="1">
        <v>1121236.5</v>
      </c>
      <c r="H257" s="1">
        <v>101303.06</v>
      </c>
      <c r="I257" s="1" t="s">
        <v>0</v>
      </c>
      <c r="J257" s="1" t="s">
        <v>0</v>
      </c>
    </row>
    <row r="258" spans="1:10" x14ac:dyDescent="0.35">
      <c r="A258" t="s">
        <v>4</v>
      </c>
      <c r="B258">
        <v>5351</v>
      </c>
      <c r="C258">
        <v>2015</v>
      </c>
      <c r="D258">
        <v>5</v>
      </c>
      <c r="E258" s="1">
        <v>744</v>
      </c>
      <c r="F258" s="1">
        <v>7147.79</v>
      </c>
      <c r="G258" s="1">
        <v>1042506.82</v>
      </c>
      <c r="H258" s="1">
        <v>102927.47</v>
      </c>
      <c r="I258" s="1" t="s">
        <v>0</v>
      </c>
      <c r="J258" s="1" t="s">
        <v>0</v>
      </c>
    </row>
    <row r="259" spans="1:10" x14ac:dyDescent="0.35">
      <c r="A259" t="s">
        <v>4</v>
      </c>
      <c r="B259">
        <v>5351</v>
      </c>
      <c r="C259">
        <v>2015</v>
      </c>
      <c r="D259">
        <v>6</v>
      </c>
      <c r="E259" s="1">
        <v>718.81667000000004</v>
      </c>
      <c r="F259" s="1">
        <v>6069.93</v>
      </c>
      <c r="G259" s="1">
        <v>889055.86</v>
      </c>
      <c r="H259" s="1">
        <v>100367.07</v>
      </c>
      <c r="I259" s="1" t="s">
        <v>0</v>
      </c>
      <c r="J259" s="1" t="s">
        <v>0</v>
      </c>
    </row>
    <row r="260" spans="1:10" x14ac:dyDescent="0.35">
      <c r="A260" t="s">
        <v>4</v>
      </c>
      <c r="B260">
        <v>5351</v>
      </c>
      <c r="C260">
        <v>2015</v>
      </c>
      <c r="D260">
        <v>7</v>
      </c>
      <c r="E260" s="1">
        <v>741.04193999999995</v>
      </c>
      <c r="F260" s="1">
        <v>6720.74</v>
      </c>
      <c r="G260" s="1">
        <v>999142.24</v>
      </c>
      <c r="H260" s="1">
        <v>96224.54</v>
      </c>
      <c r="I260" s="1" t="s">
        <v>0</v>
      </c>
      <c r="J260" s="1" t="s">
        <v>0</v>
      </c>
    </row>
    <row r="261" spans="1:10" x14ac:dyDescent="0.35">
      <c r="A261" t="s">
        <v>4</v>
      </c>
      <c r="B261">
        <v>5351</v>
      </c>
      <c r="C261">
        <v>2015</v>
      </c>
      <c r="D261">
        <v>8</v>
      </c>
      <c r="E261" s="1">
        <v>629.39180999999996</v>
      </c>
      <c r="F261" s="1">
        <v>4876.3100000000004</v>
      </c>
      <c r="G261" s="1">
        <v>737504.53</v>
      </c>
      <c r="H261" s="1">
        <v>79596.639999999999</v>
      </c>
      <c r="I261" s="1" t="s">
        <v>0</v>
      </c>
      <c r="J261" s="1" t="s">
        <v>0</v>
      </c>
    </row>
    <row r="262" spans="1:10" x14ac:dyDescent="0.35">
      <c r="A262" t="s">
        <v>4</v>
      </c>
      <c r="B262">
        <v>5351</v>
      </c>
      <c r="C262">
        <v>2015</v>
      </c>
      <c r="D262">
        <v>9</v>
      </c>
      <c r="E262" s="1">
        <v>719.07485999999994</v>
      </c>
      <c r="F262" s="1">
        <v>5300.41</v>
      </c>
      <c r="G262" s="1">
        <v>799234.86</v>
      </c>
      <c r="H262" s="1">
        <v>84511.31</v>
      </c>
      <c r="I262" s="1" t="s">
        <v>0</v>
      </c>
      <c r="J262" s="1" t="s">
        <v>0</v>
      </c>
    </row>
    <row r="263" spans="1:10" x14ac:dyDescent="0.35">
      <c r="A263" t="s">
        <v>4</v>
      </c>
      <c r="B263">
        <v>5351</v>
      </c>
      <c r="C263">
        <v>2015</v>
      </c>
      <c r="D263">
        <v>10</v>
      </c>
      <c r="E263" s="1">
        <v>741.91666999999995</v>
      </c>
      <c r="F263" s="1">
        <v>5634.86</v>
      </c>
      <c r="G263" s="1">
        <v>863230.28</v>
      </c>
      <c r="H263" s="1">
        <v>97864.97</v>
      </c>
      <c r="I263" s="1" t="s">
        <v>0</v>
      </c>
      <c r="J263" s="1" t="s">
        <v>0</v>
      </c>
    </row>
    <row r="264" spans="1:10" x14ac:dyDescent="0.35">
      <c r="A264" t="s">
        <v>4</v>
      </c>
      <c r="B264">
        <v>5351</v>
      </c>
      <c r="C264">
        <v>2015</v>
      </c>
      <c r="D264">
        <v>11</v>
      </c>
      <c r="E264" s="1">
        <v>719.50000999999997</v>
      </c>
      <c r="F264" s="1">
        <v>5431.56</v>
      </c>
      <c r="G264" s="1">
        <v>835108.42</v>
      </c>
      <c r="H264" s="1">
        <v>96061.08</v>
      </c>
      <c r="I264" s="1" t="s">
        <v>0</v>
      </c>
      <c r="J264" s="1" t="s">
        <v>0</v>
      </c>
    </row>
    <row r="265" spans="1:10" x14ac:dyDescent="0.35">
      <c r="A265" t="s">
        <v>4</v>
      </c>
      <c r="B265">
        <v>5351</v>
      </c>
      <c r="C265">
        <v>2015</v>
      </c>
      <c r="D265">
        <v>12</v>
      </c>
      <c r="E265" s="1">
        <v>740.5</v>
      </c>
      <c r="F265" s="1">
        <v>5158.09</v>
      </c>
      <c r="G265" s="1">
        <v>790131.36</v>
      </c>
      <c r="H265" s="1">
        <v>94593.75</v>
      </c>
      <c r="I265" s="1" t="s">
        <v>0</v>
      </c>
      <c r="J265" s="1" t="s">
        <v>0</v>
      </c>
    </row>
    <row r="266" spans="1:10" x14ac:dyDescent="0.35">
      <c r="A266" t="s">
        <v>4</v>
      </c>
      <c r="B266">
        <v>5351</v>
      </c>
      <c r="C266">
        <v>2016</v>
      </c>
      <c r="D266">
        <v>1</v>
      </c>
      <c r="E266" s="1">
        <v>736.33331999999996</v>
      </c>
      <c r="F266" s="1">
        <v>4606.3</v>
      </c>
      <c r="G266" s="1">
        <v>721123.87</v>
      </c>
      <c r="H266" s="1">
        <v>97147.72</v>
      </c>
      <c r="I266" s="1" t="s">
        <v>0</v>
      </c>
      <c r="J266" s="1" t="s">
        <v>0</v>
      </c>
    </row>
    <row r="267" spans="1:10" x14ac:dyDescent="0.35">
      <c r="A267" t="s">
        <v>4</v>
      </c>
      <c r="B267">
        <v>5351</v>
      </c>
      <c r="C267">
        <v>2016</v>
      </c>
      <c r="D267">
        <v>2</v>
      </c>
      <c r="E267" s="1">
        <v>695.58333000000005</v>
      </c>
      <c r="F267" s="1">
        <v>3941.77</v>
      </c>
      <c r="G267" s="1">
        <v>621658.73</v>
      </c>
      <c r="H267" s="1">
        <v>86357.85</v>
      </c>
      <c r="I267" s="1" t="s">
        <v>0</v>
      </c>
      <c r="J267" s="1" t="s">
        <v>0</v>
      </c>
    </row>
    <row r="268" spans="1:10" x14ac:dyDescent="0.35">
      <c r="A268" t="s">
        <v>4</v>
      </c>
      <c r="B268">
        <v>5351</v>
      </c>
      <c r="C268">
        <v>2016</v>
      </c>
      <c r="D268">
        <v>3</v>
      </c>
      <c r="E268" s="1">
        <v>737.66665999999998</v>
      </c>
      <c r="F268" s="1">
        <v>3753.8</v>
      </c>
      <c r="G268" s="1">
        <v>604911.16</v>
      </c>
      <c r="H268" s="1">
        <v>98119.24</v>
      </c>
      <c r="I268" s="1" t="s">
        <v>0</v>
      </c>
      <c r="J268" s="1" t="s">
        <v>0</v>
      </c>
    </row>
    <row r="269" spans="1:10" x14ac:dyDescent="0.35">
      <c r="A269" t="s">
        <v>4</v>
      </c>
      <c r="B269">
        <v>5351</v>
      </c>
      <c r="C269">
        <v>2016</v>
      </c>
      <c r="D269">
        <v>4</v>
      </c>
      <c r="E269" s="1">
        <v>715.83333000000005</v>
      </c>
      <c r="F269" s="1">
        <v>3112.41</v>
      </c>
      <c r="G269" s="1">
        <v>514414.42</v>
      </c>
      <c r="H269" s="1">
        <v>91934.95</v>
      </c>
      <c r="I269" s="1" t="s">
        <v>0</v>
      </c>
      <c r="J269" s="1" t="s">
        <v>0</v>
      </c>
    </row>
    <row r="270" spans="1:10" x14ac:dyDescent="0.35">
      <c r="A270" t="s">
        <v>4</v>
      </c>
      <c r="B270">
        <v>5351</v>
      </c>
      <c r="C270">
        <v>2016</v>
      </c>
      <c r="D270">
        <v>5</v>
      </c>
      <c r="E270" s="1">
        <v>738</v>
      </c>
      <c r="F270" s="1">
        <v>3212.96</v>
      </c>
      <c r="G270" s="1">
        <v>506857.03</v>
      </c>
      <c r="H270" s="1">
        <v>89415.55</v>
      </c>
      <c r="I270" s="1" t="s">
        <v>0</v>
      </c>
      <c r="J270" s="1" t="s">
        <v>0</v>
      </c>
    </row>
    <row r="271" spans="1:10" x14ac:dyDescent="0.35">
      <c r="A271" t="s">
        <v>4</v>
      </c>
      <c r="B271">
        <v>5351</v>
      </c>
      <c r="C271">
        <v>2016</v>
      </c>
      <c r="D271">
        <v>6</v>
      </c>
      <c r="E271" s="1">
        <v>716.08333000000005</v>
      </c>
      <c r="F271" s="1">
        <v>3075.03</v>
      </c>
      <c r="G271" s="1">
        <v>495103.7</v>
      </c>
      <c r="H271" s="1">
        <v>88380.72</v>
      </c>
      <c r="I271" s="1" t="s">
        <v>0</v>
      </c>
      <c r="J271" s="1" t="s">
        <v>0</v>
      </c>
    </row>
    <row r="272" spans="1:10" x14ac:dyDescent="0.35">
      <c r="A272" t="s">
        <v>4</v>
      </c>
      <c r="B272">
        <v>5351</v>
      </c>
      <c r="C272">
        <v>2016</v>
      </c>
      <c r="D272">
        <v>7</v>
      </c>
      <c r="E272" s="1">
        <v>301.22500000000002</v>
      </c>
      <c r="F272" s="1">
        <v>1326.86</v>
      </c>
      <c r="G272" s="1">
        <v>215288.52</v>
      </c>
      <c r="H272" s="1">
        <v>37892.519999999997</v>
      </c>
      <c r="I272" s="1" t="s">
        <v>0</v>
      </c>
      <c r="J272" s="1" t="s">
        <v>0</v>
      </c>
    </row>
    <row r="273" spans="1:10" x14ac:dyDescent="0.35">
      <c r="A273" t="s">
        <v>4</v>
      </c>
      <c r="B273">
        <v>5351</v>
      </c>
      <c r="C273">
        <v>2016</v>
      </c>
      <c r="D273">
        <v>8</v>
      </c>
      <c r="E273" s="1">
        <v>0</v>
      </c>
      <c r="F273" s="1">
        <v>0</v>
      </c>
      <c r="G273" s="1">
        <v>0</v>
      </c>
      <c r="H273" s="1">
        <v>0</v>
      </c>
      <c r="I273" s="1" t="s">
        <v>0</v>
      </c>
      <c r="J273" s="1" t="s">
        <v>0</v>
      </c>
    </row>
    <row r="274" spans="1:10" x14ac:dyDescent="0.35">
      <c r="A274" t="s">
        <v>4</v>
      </c>
      <c r="B274">
        <v>5351</v>
      </c>
      <c r="C274">
        <v>2016</v>
      </c>
      <c r="D274">
        <v>9</v>
      </c>
      <c r="E274" s="1">
        <v>0</v>
      </c>
      <c r="F274" s="1">
        <v>0</v>
      </c>
      <c r="G274" s="1">
        <v>0</v>
      </c>
      <c r="H274" s="1">
        <v>0</v>
      </c>
      <c r="I274" s="1" t="s">
        <v>0</v>
      </c>
      <c r="J274" s="1" t="s">
        <v>0</v>
      </c>
    </row>
    <row r="275" spans="1:10" x14ac:dyDescent="0.35">
      <c r="A275" t="s">
        <v>5</v>
      </c>
      <c r="B275">
        <v>7289</v>
      </c>
      <c r="C275">
        <v>2014</v>
      </c>
      <c r="D275">
        <v>1</v>
      </c>
      <c r="E275" s="1">
        <v>339.91667000000001</v>
      </c>
      <c r="F275" s="1">
        <v>5674.63</v>
      </c>
      <c r="G275" s="1">
        <v>820968.95999999996</v>
      </c>
      <c r="H275" s="1">
        <v>0</v>
      </c>
      <c r="I275" s="1" t="s">
        <v>0</v>
      </c>
      <c r="J275" s="1" t="s">
        <v>0</v>
      </c>
    </row>
    <row r="276" spans="1:10" x14ac:dyDescent="0.35">
      <c r="A276" t="s">
        <v>5</v>
      </c>
      <c r="B276">
        <v>7289</v>
      </c>
      <c r="C276">
        <v>2014</v>
      </c>
      <c r="D276">
        <v>2</v>
      </c>
      <c r="E276" s="1">
        <v>595.65000999999995</v>
      </c>
      <c r="F276" s="1">
        <v>7898.6</v>
      </c>
      <c r="G276" s="1">
        <v>1196183.8899999999</v>
      </c>
      <c r="H276" s="1">
        <v>0</v>
      </c>
      <c r="I276" s="1" t="s">
        <v>0</v>
      </c>
      <c r="J276" s="1" t="s">
        <v>0</v>
      </c>
    </row>
    <row r="277" spans="1:10" x14ac:dyDescent="0.35">
      <c r="A277" t="s">
        <v>5</v>
      </c>
      <c r="B277">
        <v>7289</v>
      </c>
      <c r="C277">
        <v>2014</v>
      </c>
      <c r="D277">
        <v>3</v>
      </c>
      <c r="E277" s="1">
        <v>670.75</v>
      </c>
      <c r="F277" s="1">
        <v>7081.47</v>
      </c>
      <c r="G277" s="1">
        <v>1076363.95</v>
      </c>
      <c r="H277" s="1">
        <v>0</v>
      </c>
      <c r="I277" s="1" t="s">
        <v>0</v>
      </c>
      <c r="J277" s="1" t="s">
        <v>0</v>
      </c>
    </row>
    <row r="278" spans="1:10" x14ac:dyDescent="0.35">
      <c r="A278" t="s">
        <v>5</v>
      </c>
      <c r="B278">
        <v>7289</v>
      </c>
      <c r="C278">
        <v>2014</v>
      </c>
      <c r="D278">
        <v>4</v>
      </c>
      <c r="E278" s="1">
        <v>700.875</v>
      </c>
      <c r="F278" s="1">
        <v>7163.3</v>
      </c>
      <c r="G278" s="1">
        <v>1074270.33</v>
      </c>
      <c r="H278" s="1">
        <v>0</v>
      </c>
      <c r="I278" s="1" t="s">
        <v>0</v>
      </c>
      <c r="J278" s="1" t="s">
        <v>0</v>
      </c>
    </row>
    <row r="279" spans="1:10" x14ac:dyDescent="0.35">
      <c r="A279" t="s">
        <v>5</v>
      </c>
      <c r="B279">
        <v>7289</v>
      </c>
      <c r="C279">
        <v>2014</v>
      </c>
      <c r="D279">
        <v>5</v>
      </c>
      <c r="E279" s="1">
        <v>744</v>
      </c>
      <c r="F279" s="1">
        <v>7218.61</v>
      </c>
      <c r="G279" s="1">
        <v>1014000.02</v>
      </c>
      <c r="H279" s="1">
        <v>0</v>
      </c>
      <c r="I279" s="1" t="s">
        <v>0</v>
      </c>
      <c r="J279" s="1" t="s">
        <v>0</v>
      </c>
    </row>
    <row r="280" spans="1:10" x14ac:dyDescent="0.35">
      <c r="A280" t="s">
        <v>5</v>
      </c>
      <c r="B280">
        <v>7289</v>
      </c>
      <c r="C280">
        <v>2014</v>
      </c>
      <c r="D280">
        <v>6</v>
      </c>
      <c r="E280" s="1">
        <v>709.33334000000002</v>
      </c>
      <c r="F280" s="1">
        <v>7012.55</v>
      </c>
      <c r="G280" s="1">
        <v>1032224.48</v>
      </c>
      <c r="H280" s="1">
        <v>0</v>
      </c>
      <c r="I280" s="1" t="s">
        <v>0</v>
      </c>
      <c r="J280" s="1" t="s">
        <v>0</v>
      </c>
    </row>
    <row r="281" spans="1:10" x14ac:dyDescent="0.35">
      <c r="A281" t="s">
        <v>5</v>
      </c>
      <c r="B281">
        <v>7289</v>
      </c>
      <c r="C281">
        <v>2014</v>
      </c>
      <c r="D281">
        <v>7</v>
      </c>
      <c r="E281" s="1">
        <v>732.66638999999998</v>
      </c>
      <c r="F281" s="1">
        <v>6847.42</v>
      </c>
      <c r="G281" s="1">
        <v>1021004.31</v>
      </c>
      <c r="H281" s="1">
        <v>0</v>
      </c>
      <c r="I281" s="1" t="s">
        <v>0</v>
      </c>
      <c r="J281" s="1" t="s">
        <v>0</v>
      </c>
    </row>
    <row r="282" spans="1:10" x14ac:dyDescent="0.35">
      <c r="A282" t="s">
        <v>5</v>
      </c>
      <c r="B282">
        <v>7289</v>
      </c>
      <c r="C282">
        <v>2014</v>
      </c>
      <c r="D282">
        <v>8</v>
      </c>
      <c r="E282" s="1">
        <v>433.32499999999999</v>
      </c>
      <c r="F282" s="1">
        <v>3475.39</v>
      </c>
      <c r="G282" s="1">
        <v>526611.06999999995</v>
      </c>
      <c r="H282" s="1">
        <v>0</v>
      </c>
      <c r="I282" s="1" t="s">
        <v>0</v>
      </c>
      <c r="J282" s="1" t="s">
        <v>0</v>
      </c>
    </row>
    <row r="283" spans="1:10" x14ac:dyDescent="0.35">
      <c r="A283" t="s">
        <v>5</v>
      </c>
      <c r="B283">
        <v>7289</v>
      </c>
      <c r="C283">
        <v>2014</v>
      </c>
      <c r="D283">
        <v>9</v>
      </c>
      <c r="E283" s="1">
        <v>647.45834000000002</v>
      </c>
      <c r="F283" s="1">
        <v>5314.55</v>
      </c>
      <c r="G283" s="1">
        <v>833248.65</v>
      </c>
      <c r="H283" s="1">
        <v>0</v>
      </c>
      <c r="I283" s="1" t="s">
        <v>0</v>
      </c>
      <c r="J283" s="1" t="s">
        <v>0</v>
      </c>
    </row>
    <row r="284" spans="1:10" x14ac:dyDescent="0.35">
      <c r="A284" t="s">
        <v>5</v>
      </c>
      <c r="B284">
        <v>7289</v>
      </c>
      <c r="C284">
        <v>2014</v>
      </c>
      <c r="D284">
        <v>10</v>
      </c>
      <c r="E284" s="1">
        <v>733.33333000000005</v>
      </c>
      <c r="F284" s="1">
        <v>5732.97</v>
      </c>
      <c r="G284" s="1">
        <v>886879.16</v>
      </c>
      <c r="H284" s="1">
        <v>182.78</v>
      </c>
      <c r="I284" s="1" t="s">
        <v>0</v>
      </c>
      <c r="J284" s="1" t="s">
        <v>0</v>
      </c>
    </row>
    <row r="285" spans="1:10" x14ac:dyDescent="0.35">
      <c r="A285" t="s">
        <v>5</v>
      </c>
      <c r="B285">
        <v>7289</v>
      </c>
      <c r="C285">
        <v>2014</v>
      </c>
      <c r="D285">
        <v>11</v>
      </c>
      <c r="E285" s="1">
        <v>597.375</v>
      </c>
      <c r="F285" s="1">
        <v>4716.3100000000004</v>
      </c>
      <c r="G285" s="1">
        <v>732052.12</v>
      </c>
      <c r="H285" s="1">
        <v>192.87</v>
      </c>
      <c r="I285" s="1" t="s">
        <v>0</v>
      </c>
      <c r="J285" s="1" t="s">
        <v>0</v>
      </c>
    </row>
    <row r="286" spans="1:10" x14ac:dyDescent="0.35">
      <c r="A286" t="s">
        <v>5</v>
      </c>
      <c r="B286">
        <v>7289</v>
      </c>
      <c r="C286">
        <v>2014</v>
      </c>
      <c r="D286">
        <v>12</v>
      </c>
      <c r="E286" s="1">
        <v>0</v>
      </c>
      <c r="F286" s="1">
        <v>0</v>
      </c>
      <c r="G286" s="1">
        <v>0</v>
      </c>
      <c r="H286" s="1">
        <v>0</v>
      </c>
      <c r="I286" s="1" t="s">
        <v>0</v>
      </c>
      <c r="J286" s="1" t="s">
        <v>0</v>
      </c>
    </row>
    <row r="287" spans="1:10" x14ac:dyDescent="0.35">
      <c r="A287" t="s">
        <v>5</v>
      </c>
      <c r="B287">
        <v>7289</v>
      </c>
      <c r="C287">
        <v>2015</v>
      </c>
      <c r="D287">
        <v>1</v>
      </c>
      <c r="E287" s="1">
        <v>697.46666000000005</v>
      </c>
      <c r="F287" s="1">
        <v>5975.51</v>
      </c>
      <c r="G287" s="1">
        <v>878873.59</v>
      </c>
      <c r="H287" s="1">
        <v>207.79</v>
      </c>
      <c r="I287" s="1" t="s">
        <v>0</v>
      </c>
      <c r="J287" s="1" t="s">
        <v>0</v>
      </c>
    </row>
    <row r="288" spans="1:10" x14ac:dyDescent="0.35">
      <c r="A288" t="s">
        <v>5</v>
      </c>
      <c r="B288">
        <v>7289</v>
      </c>
      <c r="C288">
        <v>2015</v>
      </c>
      <c r="D288">
        <v>2</v>
      </c>
      <c r="E288" s="1">
        <v>649.39166</v>
      </c>
      <c r="F288" s="1">
        <v>4581.29</v>
      </c>
      <c r="G288" s="1">
        <v>696960.15</v>
      </c>
      <c r="H288" s="1">
        <v>258.99</v>
      </c>
      <c r="I288" s="1" t="s">
        <v>0</v>
      </c>
      <c r="J288" s="1" t="s">
        <v>0</v>
      </c>
    </row>
    <row r="289" spans="1:10" x14ac:dyDescent="0.35">
      <c r="A289" t="s">
        <v>5</v>
      </c>
      <c r="B289">
        <v>7289</v>
      </c>
      <c r="C289">
        <v>2015</v>
      </c>
      <c r="D289">
        <v>3</v>
      </c>
      <c r="E289" s="1">
        <v>665.66666999999995</v>
      </c>
      <c r="F289" s="1">
        <v>4133.47</v>
      </c>
      <c r="G289" s="1">
        <v>610220.42000000004</v>
      </c>
      <c r="H289" s="1">
        <v>309.74</v>
      </c>
      <c r="I289" s="1" t="s">
        <v>0</v>
      </c>
      <c r="J289" s="1" t="s">
        <v>0</v>
      </c>
    </row>
    <row r="290" spans="1:10" x14ac:dyDescent="0.35">
      <c r="A290" t="s">
        <v>5</v>
      </c>
      <c r="B290">
        <v>7289</v>
      </c>
      <c r="C290">
        <v>2015</v>
      </c>
      <c r="D290">
        <v>4</v>
      </c>
      <c r="E290" s="1">
        <v>720</v>
      </c>
      <c r="F290" s="1">
        <v>4259.92</v>
      </c>
      <c r="G290" s="1">
        <v>621371.14</v>
      </c>
      <c r="H290" s="1">
        <v>318.02999999999997</v>
      </c>
      <c r="I290" s="1" t="s">
        <v>0</v>
      </c>
      <c r="J290" s="1" t="s">
        <v>0</v>
      </c>
    </row>
    <row r="291" spans="1:10" x14ac:dyDescent="0.35">
      <c r="A291" t="s">
        <v>5</v>
      </c>
      <c r="B291">
        <v>7289</v>
      </c>
      <c r="C291">
        <v>2015</v>
      </c>
      <c r="D291">
        <v>5</v>
      </c>
      <c r="E291" s="1">
        <v>737.16666999999995</v>
      </c>
      <c r="F291" s="1">
        <v>4057.96</v>
      </c>
      <c r="G291" s="1">
        <v>591890.28</v>
      </c>
      <c r="H291" s="1">
        <v>301.77</v>
      </c>
      <c r="I291" s="1" t="s">
        <v>0</v>
      </c>
      <c r="J291" s="1" t="s">
        <v>0</v>
      </c>
    </row>
    <row r="292" spans="1:10" x14ac:dyDescent="0.35">
      <c r="A292" t="s">
        <v>5</v>
      </c>
      <c r="B292">
        <v>7289</v>
      </c>
      <c r="C292">
        <v>2015</v>
      </c>
      <c r="D292">
        <v>6</v>
      </c>
      <c r="E292" s="1">
        <v>718.98334</v>
      </c>
      <c r="F292" s="1">
        <v>3665.8</v>
      </c>
      <c r="G292" s="1">
        <v>537022.80000000005</v>
      </c>
      <c r="H292" s="1">
        <v>291.57</v>
      </c>
      <c r="I292" s="1" t="s">
        <v>0</v>
      </c>
      <c r="J292" s="1" t="s">
        <v>0</v>
      </c>
    </row>
    <row r="293" spans="1:10" x14ac:dyDescent="0.35">
      <c r="A293" t="s">
        <v>5</v>
      </c>
      <c r="B293">
        <v>7289</v>
      </c>
      <c r="C293">
        <v>2015</v>
      </c>
      <c r="D293">
        <v>7</v>
      </c>
      <c r="E293" s="1">
        <v>420.18360999999999</v>
      </c>
      <c r="F293" s="1">
        <v>2238.4499999999998</v>
      </c>
      <c r="G293" s="1">
        <v>329941.90999999997</v>
      </c>
      <c r="H293" s="1">
        <v>184.75</v>
      </c>
      <c r="I293" s="1" t="s">
        <v>0</v>
      </c>
      <c r="J293" s="1" t="s">
        <v>0</v>
      </c>
    </row>
    <row r="294" spans="1:10" x14ac:dyDescent="0.35">
      <c r="A294" t="s">
        <v>5</v>
      </c>
      <c r="B294">
        <v>7289</v>
      </c>
      <c r="C294">
        <v>2015</v>
      </c>
      <c r="D294">
        <v>8</v>
      </c>
      <c r="E294" s="1">
        <v>276.29097000000002</v>
      </c>
      <c r="F294" s="1">
        <v>3577.67</v>
      </c>
      <c r="G294" s="1">
        <v>542285.92000000004</v>
      </c>
      <c r="H294" s="1">
        <v>1856.58</v>
      </c>
      <c r="I294" s="1" t="s">
        <v>0</v>
      </c>
      <c r="J294" s="1" t="s">
        <v>0</v>
      </c>
    </row>
    <row r="295" spans="1:10" x14ac:dyDescent="0.35">
      <c r="A295" t="s">
        <v>5</v>
      </c>
      <c r="B295">
        <v>7289</v>
      </c>
      <c r="C295">
        <v>2015</v>
      </c>
      <c r="D295">
        <v>9</v>
      </c>
      <c r="E295" s="1">
        <v>719.15805</v>
      </c>
      <c r="F295" s="1">
        <v>7417.35</v>
      </c>
      <c r="G295" s="1">
        <v>1121246.68</v>
      </c>
      <c r="H295" s="1">
        <v>3986.62</v>
      </c>
      <c r="I295" s="1" t="s">
        <v>0</v>
      </c>
      <c r="J295" s="1" t="s">
        <v>0</v>
      </c>
    </row>
    <row r="296" spans="1:10" x14ac:dyDescent="0.35">
      <c r="A296" t="s">
        <v>5</v>
      </c>
      <c r="B296">
        <v>7289</v>
      </c>
      <c r="C296">
        <v>2015</v>
      </c>
      <c r="D296">
        <v>10</v>
      </c>
      <c r="E296" s="1">
        <v>743.16666999999995</v>
      </c>
      <c r="F296" s="1">
        <v>6346.83</v>
      </c>
      <c r="G296" s="1">
        <v>972413.69</v>
      </c>
      <c r="H296" s="1">
        <v>3628.62</v>
      </c>
      <c r="I296" s="1" t="s">
        <v>0</v>
      </c>
      <c r="J296" s="1" t="s">
        <v>0</v>
      </c>
    </row>
    <row r="297" spans="1:10" x14ac:dyDescent="0.35">
      <c r="A297" t="s">
        <v>5</v>
      </c>
      <c r="B297">
        <v>7289</v>
      </c>
      <c r="C297">
        <v>2015</v>
      </c>
      <c r="D297">
        <v>11</v>
      </c>
      <c r="E297" s="1">
        <v>438.72541000000001</v>
      </c>
      <c r="F297" s="1">
        <v>3926.01</v>
      </c>
      <c r="G297" s="1">
        <v>605737.54</v>
      </c>
      <c r="H297" s="1">
        <v>2740.47</v>
      </c>
      <c r="I297" s="1" t="s">
        <v>0</v>
      </c>
      <c r="J297" s="1" t="s">
        <v>0</v>
      </c>
    </row>
    <row r="298" spans="1:10" x14ac:dyDescent="0.35">
      <c r="A298" t="s">
        <v>5</v>
      </c>
      <c r="B298">
        <v>7289</v>
      </c>
      <c r="C298">
        <v>2015</v>
      </c>
      <c r="D298">
        <v>12</v>
      </c>
      <c r="E298" s="1">
        <v>541.17499999999995</v>
      </c>
      <c r="F298" s="1">
        <v>4919.04</v>
      </c>
      <c r="G298" s="1">
        <v>751606.71</v>
      </c>
      <c r="H298" s="1">
        <v>5075.9399999999996</v>
      </c>
      <c r="I298" s="1" t="s">
        <v>0</v>
      </c>
      <c r="J298" s="1" t="s">
        <v>0</v>
      </c>
    </row>
    <row r="299" spans="1:10" x14ac:dyDescent="0.35">
      <c r="A299" t="s">
        <v>5</v>
      </c>
      <c r="B299">
        <v>7289</v>
      </c>
      <c r="C299">
        <v>2016</v>
      </c>
      <c r="D299">
        <v>1</v>
      </c>
      <c r="E299" s="1">
        <v>350.4</v>
      </c>
      <c r="F299" s="1">
        <v>2890.93</v>
      </c>
      <c r="G299" s="1">
        <v>445568.02</v>
      </c>
      <c r="H299" s="1">
        <v>3648.91</v>
      </c>
      <c r="I299" s="1" t="s">
        <v>0</v>
      </c>
      <c r="J299" s="1" t="s">
        <v>0</v>
      </c>
    </row>
    <row r="300" spans="1:10" x14ac:dyDescent="0.35">
      <c r="A300" t="s">
        <v>5</v>
      </c>
      <c r="B300">
        <v>7289</v>
      </c>
      <c r="C300">
        <v>2016</v>
      </c>
      <c r="D300">
        <v>2</v>
      </c>
      <c r="E300" s="1">
        <v>694.75</v>
      </c>
      <c r="F300" s="1">
        <v>5109.33</v>
      </c>
      <c r="G300" s="1">
        <v>805794.85</v>
      </c>
      <c r="H300" s="1">
        <v>5891.02</v>
      </c>
      <c r="I300" s="1" t="s">
        <v>0</v>
      </c>
      <c r="J300" s="1" t="s">
        <v>0</v>
      </c>
    </row>
    <row r="301" spans="1:10" x14ac:dyDescent="0.35">
      <c r="A301" t="s">
        <v>5</v>
      </c>
      <c r="B301">
        <v>7289</v>
      </c>
      <c r="C301">
        <v>2016</v>
      </c>
      <c r="D301">
        <v>3</v>
      </c>
      <c r="E301" s="1">
        <v>550.65832</v>
      </c>
      <c r="F301" s="1">
        <v>3747.55</v>
      </c>
      <c r="G301" s="1">
        <v>600593.91</v>
      </c>
      <c r="H301" s="1">
        <v>5035.04</v>
      </c>
      <c r="I301" s="1" t="s">
        <v>0</v>
      </c>
      <c r="J301" s="1" t="s">
        <v>0</v>
      </c>
    </row>
    <row r="302" spans="1:10" x14ac:dyDescent="0.35">
      <c r="A302" t="s">
        <v>5</v>
      </c>
      <c r="B302">
        <v>7289</v>
      </c>
      <c r="C302">
        <v>2016</v>
      </c>
      <c r="D302">
        <v>4</v>
      </c>
      <c r="E302" s="1">
        <v>576.50833999999998</v>
      </c>
      <c r="F302" s="1">
        <v>4544.16</v>
      </c>
      <c r="G302" s="1">
        <v>751127.49</v>
      </c>
      <c r="H302" s="1">
        <v>5688.1</v>
      </c>
      <c r="I302" s="1" t="s">
        <v>0</v>
      </c>
      <c r="J302" s="1" t="s">
        <v>0</v>
      </c>
    </row>
    <row r="303" spans="1:10" x14ac:dyDescent="0.35">
      <c r="A303" t="s">
        <v>5</v>
      </c>
      <c r="B303">
        <v>7289</v>
      </c>
      <c r="C303">
        <v>2016</v>
      </c>
      <c r="D303">
        <v>5</v>
      </c>
      <c r="E303" s="1">
        <v>677.16666999999995</v>
      </c>
      <c r="F303" s="1">
        <v>4699.01</v>
      </c>
      <c r="G303" s="1">
        <v>740192.61</v>
      </c>
      <c r="H303" s="1">
        <v>6004.13</v>
      </c>
      <c r="I303" s="1" t="s">
        <v>0</v>
      </c>
      <c r="J303" s="1" t="s">
        <v>0</v>
      </c>
    </row>
    <row r="304" spans="1:10" x14ac:dyDescent="0.35">
      <c r="A304" t="s">
        <v>5</v>
      </c>
      <c r="B304">
        <v>7289</v>
      </c>
      <c r="C304">
        <v>2016</v>
      </c>
      <c r="D304">
        <v>6</v>
      </c>
      <c r="E304" s="1">
        <v>604.91665999999998</v>
      </c>
      <c r="F304" s="1">
        <v>3463.91</v>
      </c>
      <c r="G304" s="1">
        <v>555535.97</v>
      </c>
      <c r="H304" s="1">
        <v>5390.5</v>
      </c>
      <c r="I304" s="1" t="s">
        <v>0</v>
      </c>
      <c r="J304" s="1" t="s">
        <v>0</v>
      </c>
    </row>
    <row r="305" spans="1:10" x14ac:dyDescent="0.35">
      <c r="A305" t="s">
        <v>5</v>
      </c>
      <c r="B305">
        <v>7289</v>
      </c>
      <c r="C305">
        <v>2016</v>
      </c>
      <c r="D305">
        <v>7</v>
      </c>
      <c r="E305" s="1">
        <v>138.375</v>
      </c>
      <c r="F305" s="1">
        <v>828.57</v>
      </c>
      <c r="G305" s="1">
        <v>133160.32999999999</v>
      </c>
      <c r="H305" s="1">
        <v>1172.18</v>
      </c>
      <c r="I305" s="1" t="s">
        <v>0</v>
      </c>
      <c r="J305" s="1" t="s">
        <v>0</v>
      </c>
    </row>
    <row r="306" spans="1:10" x14ac:dyDescent="0.35">
      <c r="A306" t="s">
        <v>5</v>
      </c>
      <c r="B306">
        <v>7289</v>
      </c>
      <c r="C306">
        <v>2016</v>
      </c>
      <c r="D306">
        <v>8</v>
      </c>
      <c r="E306" s="1">
        <v>0</v>
      </c>
      <c r="F306" s="1">
        <v>0</v>
      </c>
      <c r="G306" s="1">
        <v>0</v>
      </c>
      <c r="H306" s="1">
        <v>0</v>
      </c>
      <c r="I306" s="1" t="s">
        <v>0</v>
      </c>
      <c r="J306" s="1" t="s">
        <v>0</v>
      </c>
    </row>
    <row r="307" spans="1:10" x14ac:dyDescent="0.35">
      <c r="A307" t="s">
        <v>5</v>
      </c>
      <c r="B307">
        <v>7289</v>
      </c>
      <c r="C307">
        <v>2016</v>
      </c>
      <c r="D307">
        <v>9</v>
      </c>
      <c r="E307" s="1">
        <v>0</v>
      </c>
      <c r="F307" s="1">
        <v>0</v>
      </c>
      <c r="G307" s="1">
        <v>0</v>
      </c>
      <c r="H307" s="1">
        <v>0</v>
      </c>
      <c r="I307" s="1" t="s">
        <v>0</v>
      </c>
      <c r="J307" s="1" t="s">
        <v>0</v>
      </c>
    </row>
    <row r="308" spans="1:10" x14ac:dyDescent="0.35">
      <c r="A308" t="s">
        <v>6</v>
      </c>
      <c r="B308">
        <v>5693</v>
      </c>
      <c r="C308">
        <v>2007</v>
      </c>
      <c r="D308">
        <v>9</v>
      </c>
      <c r="E308" s="1" t="s">
        <v>0</v>
      </c>
      <c r="F308" s="1" t="s">
        <v>0</v>
      </c>
      <c r="G308" s="1" t="s">
        <v>0</v>
      </c>
      <c r="H308" s="1" t="s">
        <v>0</v>
      </c>
      <c r="I308" s="1" t="s">
        <v>0</v>
      </c>
      <c r="J308" s="1" t="s">
        <v>0</v>
      </c>
    </row>
    <row r="309" spans="1:10" x14ac:dyDescent="0.35">
      <c r="A309" t="s">
        <v>6</v>
      </c>
      <c r="B309">
        <v>5693</v>
      </c>
      <c r="C309">
        <v>2007</v>
      </c>
      <c r="D309">
        <v>10</v>
      </c>
      <c r="E309" s="1" t="s">
        <v>0</v>
      </c>
      <c r="F309" s="1" t="s">
        <v>0</v>
      </c>
      <c r="G309" s="1" t="s">
        <v>0</v>
      </c>
      <c r="H309" s="1" t="s">
        <v>0</v>
      </c>
      <c r="I309" s="1" t="s">
        <v>0</v>
      </c>
      <c r="J309" s="1" t="s">
        <v>0</v>
      </c>
    </row>
    <row r="310" spans="1:10" x14ac:dyDescent="0.35">
      <c r="A310" t="s">
        <v>6</v>
      </c>
      <c r="B310">
        <v>5693</v>
      </c>
      <c r="C310">
        <v>2007</v>
      </c>
      <c r="D310">
        <v>11</v>
      </c>
      <c r="E310" s="1" t="s">
        <v>0</v>
      </c>
      <c r="F310" s="1" t="s">
        <v>0</v>
      </c>
      <c r="G310" s="1" t="s">
        <v>0</v>
      </c>
      <c r="H310" s="1" t="s">
        <v>0</v>
      </c>
      <c r="I310" s="1" t="s">
        <v>0</v>
      </c>
      <c r="J310" s="1" t="s">
        <v>0</v>
      </c>
    </row>
    <row r="311" spans="1:10" x14ac:dyDescent="0.35">
      <c r="A311" t="s">
        <v>6</v>
      </c>
      <c r="B311">
        <v>5693</v>
      </c>
      <c r="C311">
        <v>2007</v>
      </c>
      <c r="D311">
        <v>12</v>
      </c>
      <c r="E311" s="1" t="s">
        <v>0</v>
      </c>
      <c r="F311" s="1" t="s">
        <v>0</v>
      </c>
      <c r="G311" s="1" t="s">
        <v>0</v>
      </c>
      <c r="H311" s="1" t="s">
        <v>0</v>
      </c>
      <c r="I311" s="1" t="s">
        <v>0</v>
      </c>
      <c r="J311" s="1" t="s">
        <v>0</v>
      </c>
    </row>
    <row r="312" spans="1:10" x14ac:dyDescent="0.35">
      <c r="A312" t="s">
        <v>6</v>
      </c>
      <c r="B312">
        <v>5693</v>
      </c>
      <c r="C312">
        <v>2008</v>
      </c>
      <c r="D312">
        <v>1</v>
      </c>
      <c r="E312" s="1">
        <v>0</v>
      </c>
      <c r="F312" s="1" t="s">
        <v>0</v>
      </c>
      <c r="G312" s="1" t="s">
        <v>0</v>
      </c>
      <c r="H312" s="1" t="s">
        <v>0</v>
      </c>
      <c r="I312" s="1" t="s">
        <v>0</v>
      </c>
      <c r="J312" s="1" t="s">
        <v>0</v>
      </c>
    </row>
    <row r="313" spans="1:10" x14ac:dyDescent="0.35">
      <c r="A313" t="s">
        <v>6</v>
      </c>
      <c r="B313">
        <v>5693</v>
      </c>
      <c r="C313">
        <v>2008</v>
      </c>
      <c r="D313">
        <v>2</v>
      </c>
      <c r="E313" s="1">
        <v>0</v>
      </c>
      <c r="F313" s="1" t="s">
        <v>0</v>
      </c>
      <c r="G313" s="1" t="s">
        <v>0</v>
      </c>
      <c r="H313" s="1" t="s">
        <v>0</v>
      </c>
      <c r="I313" s="1" t="s">
        <v>0</v>
      </c>
      <c r="J313" s="1" t="s">
        <v>0</v>
      </c>
    </row>
    <row r="314" spans="1:10" x14ac:dyDescent="0.35">
      <c r="A314" t="s">
        <v>6</v>
      </c>
      <c r="B314">
        <v>5693</v>
      </c>
      <c r="C314">
        <v>2008</v>
      </c>
      <c r="D314">
        <v>3</v>
      </c>
      <c r="E314" s="1">
        <v>0</v>
      </c>
      <c r="F314" s="1" t="s">
        <v>0</v>
      </c>
      <c r="G314" s="1" t="s">
        <v>0</v>
      </c>
      <c r="H314" s="1" t="s">
        <v>0</v>
      </c>
      <c r="I314" s="1" t="s">
        <v>0</v>
      </c>
      <c r="J314" s="1">
        <v>0</v>
      </c>
    </row>
    <row r="315" spans="1:10" x14ac:dyDescent="0.35">
      <c r="A315" t="s">
        <v>6</v>
      </c>
      <c r="B315">
        <v>5693</v>
      </c>
      <c r="C315">
        <v>2008</v>
      </c>
      <c r="D315">
        <v>4</v>
      </c>
      <c r="E315" s="1">
        <v>118.65</v>
      </c>
      <c r="F315" s="1" t="s">
        <v>0</v>
      </c>
      <c r="G315" s="1" t="s">
        <v>0</v>
      </c>
      <c r="H315" s="1" t="s">
        <v>0</v>
      </c>
      <c r="I315" s="1" t="s">
        <v>0</v>
      </c>
      <c r="J315" s="1">
        <v>29752.686893425602</v>
      </c>
    </row>
    <row r="316" spans="1:10" x14ac:dyDescent="0.35">
      <c r="A316" t="s">
        <v>6</v>
      </c>
      <c r="B316">
        <v>5693</v>
      </c>
      <c r="C316">
        <v>2008</v>
      </c>
      <c r="D316">
        <v>5</v>
      </c>
      <c r="E316" s="1">
        <v>714.005</v>
      </c>
      <c r="F316" s="1" t="s">
        <v>0</v>
      </c>
      <c r="G316" s="1" t="s">
        <v>0</v>
      </c>
      <c r="H316" s="1" t="s">
        <v>0</v>
      </c>
      <c r="I316" s="1" t="s">
        <v>0</v>
      </c>
      <c r="J316" s="1">
        <v>221337.106474167</v>
      </c>
    </row>
    <row r="317" spans="1:10" x14ac:dyDescent="0.35">
      <c r="A317" t="s">
        <v>6</v>
      </c>
      <c r="B317">
        <v>5693</v>
      </c>
      <c r="C317">
        <v>2008</v>
      </c>
      <c r="D317">
        <v>6</v>
      </c>
      <c r="E317" s="1">
        <v>598.81667000000004</v>
      </c>
      <c r="F317" s="1" t="s">
        <v>0</v>
      </c>
      <c r="G317" s="1" t="s">
        <v>0</v>
      </c>
      <c r="H317" s="1" t="s">
        <v>0</v>
      </c>
      <c r="I317" s="1" t="s">
        <v>0</v>
      </c>
      <c r="J317" s="1">
        <v>211803.65386397101</v>
      </c>
    </row>
    <row r="318" spans="1:10" x14ac:dyDescent="0.35">
      <c r="A318" t="s">
        <v>6</v>
      </c>
      <c r="B318">
        <v>5693</v>
      </c>
      <c r="C318">
        <v>2008</v>
      </c>
      <c r="D318">
        <v>7</v>
      </c>
      <c r="E318" s="1">
        <v>620.80832999999996</v>
      </c>
      <c r="F318" s="1" t="s">
        <v>0</v>
      </c>
      <c r="G318" s="1" t="s">
        <v>0</v>
      </c>
      <c r="H318" s="1" t="s">
        <v>0</v>
      </c>
      <c r="I318" s="1" t="s">
        <v>0</v>
      </c>
      <c r="J318" s="1">
        <v>232029.66274033301</v>
      </c>
    </row>
    <row r="319" spans="1:10" x14ac:dyDescent="0.35">
      <c r="A319" t="s">
        <v>6</v>
      </c>
      <c r="B319">
        <v>5693</v>
      </c>
      <c r="C319">
        <v>2008</v>
      </c>
      <c r="D319">
        <v>8</v>
      </c>
      <c r="E319" s="1">
        <v>663.07501999999999</v>
      </c>
      <c r="F319" s="1" t="s">
        <v>0</v>
      </c>
      <c r="G319" s="1" t="s">
        <v>0</v>
      </c>
      <c r="H319" s="1" t="s">
        <v>0</v>
      </c>
      <c r="I319" s="1" t="s">
        <v>0</v>
      </c>
      <c r="J319" s="1">
        <v>213913.26389397099</v>
      </c>
    </row>
    <row r="320" spans="1:10" x14ac:dyDescent="0.35">
      <c r="A320" t="s">
        <v>6</v>
      </c>
      <c r="B320">
        <v>5693</v>
      </c>
      <c r="C320">
        <v>2008</v>
      </c>
      <c r="D320">
        <v>9</v>
      </c>
      <c r="E320" s="1">
        <v>558.14562000000001</v>
      </c>
      <c r="F320" s="1" t="s">
        <v>0</v>
      </c>
      <c r="G320" s="1" t="s">
        <v>0</v>
      </c>
      <c r="H320" s="1" t="s">
        <v>0</v>
      </c>
      <c r="I320" s="1" t="s">
        <v>0</v>
      </c>
      <c r="J320" s="1">
        <v>98583.301266153707</v>
      </c>
    </row>
    <row r="321" spans="1:10" x14ac:dyDescent="0.35">
      <c r="A321" t="s">
        <v>6</v>
      </c>
      <c r="B321">
        <v>5693</v>
      </c>
      <c r="C321">
        <v>2008</v>
      </c>
      <c r="D321">
        <v>10</v>
      </c>
      <c r="E321" s="1">
        <v>701.91666999999995</v>
      </c>
      <c r="F321" s="1" t="s">
        <v>0</v>
      </c>
      <c r="G321" s="1" t="s">
        <v>0</v>
      </c>
      <c r="H321" s="1" t="s">
        <v>0</v>
      </c>
      <c r="I321" s="1" t="s">
        <v>0</v>
      </c>
      <c r="J321" s="1">
        <v>233503.40590122499</v>
      </c>
    </row>
    <row r="322" spans="1:10" x14ac:dyDescent="0.35">
      <c r="A322" t="s">
        <v>6</v>
      </c>
      <c r="B322">
        <v>5693</v>
      </c>
      <c r="C322">
        <v>2008</v>
      </c>
      <c r="D322">
        <v>11</v>
      </c>
      <c r="E322" s="1">
        <v>711.66666999999995</v>
      </c>
      <c r="F322" s="1" t="s">
        <v>0</v>
      </c>
      <c r="G322" s="1" t="s">
        <v>0</v>
      </c>
      <c r="H322" s="1" t="s">
        <v>0</v>
      </c>
      <c r="I322" s="1" t="s">
        <v>0</v>
      </c>
      <c r="J322" s="1">
        <v>222126.099228406</v>
      </c>
    </row>
    <row r="323" spans="1:10" x14ac:dyDescent="0.35">
      <c r="A323" t="s">
        <v>6</v>
      </c>
      <c r="B323">
        <v>5693</v>
      </c>
      <c r="C323">
        <v>2008</v>
      </c>
      <c r="D323">
        <v>12</v>
      </c>
      <c r="E323" s="1">
        <v>742.66665999999998</v>
      </c>
      <c r="F323" s="1" t="s">
        <v>0</v>
      </c>
      <c r="G323" s="1" t="s">
        <v>0</v>
      </c>
      <c r="H323" s="1" t="s">
        <v>0</v>
      </c>
      <c r="I323" s="1" t="s">
        <v>0</v>
      </c>
      <c r="J323" s="1">
        <v>263191.83667770802</v>
      </c>
    </row>
    <row r="324" spans="1:10" x14ac:dyDescent="0.35">
      <c r="A324" t="s">
        <v>6</v>
      </c>
      <c r="B324">
        <v>5693</v>
      </c>
      <c r="C324">
        <v>2009</v>
      </c>
      <c r="D324">
        <v>1</v>
      </c>
      <c r="E324" s="1">
        <v>699.33331999999996</v>
      </c>
      <c r="F324" s="1" t="s">
        <v>0</v>
      </c>
      <c r="G324" s="1" t="s">
        <v>0</v>
      </c>
      <c r="H324" s="1" t="s">
        <v>0</v>
      </c>
      <c r="I324" s="1" t="s">
        <v>0</v>
      </c>
      <c r="J324" s="1">
        <v>246659.903594167</v>
      </c>
    </row>
    <row r="325" spans="1:10" x14ac:dyDescent="0.35">
      <c r="A325" t="s">
        <v>6</v>
      </c>
      <c r="B325">
        <v>5693</v>
      </c>
      <c r="C325">
        <v>2009</v>
      </c>
      <c r="D325">
        <v>2</v>
      </c>
      <c r="E325" s="1">
        <v>639.66666999999995</v>
      </c>
      <c r="F325" s="1" t="s">
        <v>0</v>
      </c>
      <c r="G325" s="1" t="s">
        <v>0</v>
      </c>
      <c r="H325" s="1" t="s">
        <v>0</v>
      </c>
      <c r="I325" s="1" t="s">
        <v>0</v>
      </c>
      <c r="J325" s="1">
        <v>221133.680716042</v>
      </c>
    </row>
    <row r="326" spans="1:10" x14ac:dyDescent="0.35">
      <c r="A326" t="s">
        <v>6</v>
      </c>
      <c r="B326">
        <v>5693</v>
      </c>
      <c r="C326">
        <v>2009</v>
      </c>
      <c r="D326">
        <v>3</v>
      </c>
      <c r="E326" s="1">
        <v>191.08331999999999</v>
      </c>
      <c r="F326" s="1" t="s">
        <v>0</v>
      </c>
      <c r="G326" s="1" t="s">
        <v>0</v>
      </c>
      <c r="H326" s="1" t="s">
        <v>0</v>
      </c>
      <c r="I326" s="1" t="s">
        <v>0</v>
      </c>
      <c r="J326" s="1">
        <v>61187.968703333303</v>
      </c>
    </row>
    <row r="327" spans="1:10" x14ac:dyDescent="0.35">
      <c r="A327" t="s">
        <v>6</v>
      </c>
      <c r="B327">
        <v>5693</v>
      </c>
      <c r="C327">
        <v>2009</v>
      </c>
      <c r="D327">
        <v>4</v>
      </c>
      <c r="E327" s="1">
        <v>543.79999999999995</v>
      </c>
      <c r="F327" s="1" t="s">
        <v>0</v>
      </c>
      <c r="G327" s="1" t="s">
        <v>0</v>
      </c>
      <c r="H327" s="1" t="s">
        <v>0</v>
      </c>
      <c r="I327" s="1" t="s">
        <v>0</v>
      </c>
      <c r="J327" s="1">
        <v>106559.345925</v>
      </c>
    </row>
    <row r="328" spans="1:10" x14ac:dyDescent="0.35">
      <c r="A328" t="s">
        <v>6</v>
      </c>
      <c r="B328">
        <v>5693</v>
      </c>
      <c r="C328">
        <v>2009</v>
      </c>
      <c r="D328">
        <v>5</v>
      </c>
      <c r="E328" s="1">
        <v>710.5</v>
      </c>
      <c r="F328" s="1" t="s">
        <v>0</v>
      </c>
      <c r="G328" s="1" t="s">
        <v>0</v>
      </c>
      <c r="H328" s="1" t="s">
        <v>0</v>
      </c>
      <c r="I328" s="1" t="s">
        <v>0</v>
      </c>
      <c r="J328" s="1">
        <v>231503.09557979199</v>
      </c>
    </row>
    <row r="329" spans="1:10" x14ac:dyDescent="0.35">
      <c r="A329" t="s">
        <v>6</v>
      </c>
      <c r="B329">
        <v>5693</v>
      </c>
      <c r="C329">
        <v>2009</v>
      </c>
      <c r="D329">
        <v>6</v>
      </c>
      <c r="E329" s="1">
        <v>690.64999</v>
      </c>
      <c r="F329" s="1" t="s">
        <v>0</v>
      </c>
      <c r="G329" s="1" t="s">
        <v>0</v>
      </c>
      <c r="H329" s="1" t="s">
        <v>0</v>
      </c>
      <c r="I329" s="1" t="s">
        <v>0</v>
      </c>
      <c r="J329" s="1">
        <v>129987.98364666699</v>
      </c>
    </row>
    <row r="330" spans="1:10" x14ac:dyDescent="0.35">
      <c r="A330" t="s">
        <v>6</v>
      </c>
      <c r="B330">
        <v>5693</v>
      </c>
      <c r="C330">
        <v>2009</v>
      </c>
      <c r="D330">
        <v>7</v>
      </c>
      <c r="E330" s="1">
        <v>734.83333000000005</v>
      </c>
      <c r="F330" s="1" t="s">
        <v>0</v>
      </c>
      <c r="G330" s="1" t="s">
        <v>0</v>
      </c>
      <c r="H330" s="1" t="s">
        <v>0</v>
      </c>
      <c r="I330" s="1" t="s">
        <v>0</v>
      </c>
      <c r="J330" s="1">
        <v>191228.27029625</v>
      </c>
    </row>
    <row r="331" spans="1:10" x14ac:dyDescent="0.35">
      <c r="A331" t="s">
        <v>6</v>
      </c>
      <c r="B331">
        <v>5693</v>
      </c>
      <c r="C331">
        <v>2009</v>
      </c>
      <c r="D331">
        <v>8</v>
      </c>
      <c r="E331" s="1">
        <v>704.82500000000005</v>
      </c>
      <c r="F331" s="1" t="s">
        <v>0</v>
      </c>
      <c r="G331" s="1" t="s">
        <v>0</v>
      </c>
      <c r="H331" s="1" t="s">
        <v>0</v>
      </c>
      <c r="I331" s="1" t="s">
        <v>0</v>
      </c>
      <c r="J331" s="1">
        <v>191924.35751937499</v>
      </c>
    </row>
    <row r="332" spans="1:10" x14ac:dyDescent="0.35">
      <c r="A332" t="s">
        <v>6</v>
      </c>
      <c r="B332">
        <v>5693</v>
      </c>
      <c r="C332">
        <v>2009</v>
      </c>
      <c r="D332">
        <v>9</v>
      </c>
      <c r="E332" s="1">
        <v>509.66667000000001</v>
      </c>
      <c r="F332" s="1" t="s">
        <v>0</v>
      </c>
      <c r="G332" s="1" t="s">
        <v>0</v>
      </c>
      <c r="H332" s="1" t="s">
        <v>0</v>
      </c>
      <c r="I332" s="1" t="s">
        <v>0</v>
      </c>
      <c r="J332" s="1">
        <v>163785.32184013099</v>
      </c>
    </row>
    <row r="333" spans="1:10" x14ac:dyDescent="0.35">
      <c r="A333" t="s">
        <v>6</v>
      </c>
      <c r="B333">
        <v>5693</v>
      </c>
      <c r="C333">
        <v>2009</v>
      </c>
      <c r="D333">
        <v>10</v>
      </c>
      <c r="E333" s="1">
        <v>683.72852999999998</v>
      </c>
      <c r="F333" s="1" t="s">
        <v>0</v>
      </c>
      <c r="G333" s="1" t="s">
        <v>0</v>
      </c>
      <c r="H333" s="1" t="s">
        <v>0</v>
      </c>
      <c r="I333" s="1" t="s">
        <v>0</v>
      </c>
      <c r="J333" s="1">
        <v>182104.72754323701</v>
      </c>
    </row>
    <row r="334" spans="1:10" x14ac:dyDescent="0.35">
      <c r="A334" t="s">
        <v>6</v>
      </c>
      <c r="B334">
        <v>5693</v>
      </c>
      <c r="C334">
        <v>2009</v>
      </c>
      <c r="D334">
        <v>11</v>
      </c>
      <c r="E334" s="1">
        <v>706.24999000000003</v>
      </c>
      <c r="F334" s="1" t="s">
        <v>0</v>
      </c>
      <c r="G334" s="1" t="s">
        <v>0</v>
      </c>
      <c r="H334" s="1" t="s">
        <v>0</v>
      </c>
      <c r="I334" s="1" t="s">
        <v>0</v>
      </c>
      <c r="J334" s="1">
        <v>203874.34742511899</v>
      </c>
    </row>
    <row r="335" spans="1:10" x14ac:dyDescent="0.35">
      <c r="A335" t="s">
        <v>6</v>
      </c>
      <c r="B335">
        <v>5693</v>
      </c>
      <c r="C335">
        <v>2009</v>
      </c>
      <c r="D335">
        <v>12</v>
      </c>
      <c r="E335" s="1">
        <v>739.5</v>
      </c>
      <c r="F335" s="1" t="s">
        <v>0</v>
      </c>
      <c r="G335" s="1" t="s">
        <v>0</v>
      </c>
      <c r="H335" s="1" t="s">
        <v>0</v>
      </c>
      <c r="I335" s="1" t="s">
        <v>0</v>
      </c>
      <c r="J335" s="1">
        <v>219529.23670967101</v>
      </c>
    </row>
    <row r="336" spans="1:10" x14ac:dyDescent="0.35">
      <c r="A336" t="s">
        <v>6</v>
      </c>
      <c r="B336">
        <v>5693</v>
      </c>
      <c r="C336">
        <v>2010</v>
      </c>
      <c r="D336">
        <v>1</v>
      </c>
      <c r="E336" s="1">
        <v>735.16666999999995</v>
      </c>
      <c r="F336" s="1" t="s">
        <v>0</v>
      </c>
      <c r="G336" s="1" t="s">
        <v>0</v>
      </c>
      <c r="H336" s="1" t="s">
        <v>0</v>
      </c>
      <c r="I336" s="1" t="s">
        <v>0</v>
      </c>
      <c r="J336" s="1">
        <v>222678.95831334699</v>
      </c>
    </row>
    <row r="337" spans="1:10" x14ac:dyDescent="0.35">
      <c r="A337" t="s">
        <v>6</v>
      </c>
      <c r="B337">
        <v>5693</v>
      </c>
      <c r="C337">
        <v>2010</v>
      </c>
      <c r="D337">
        <v>2</v>
      </c>
      <c r="E337" s="1">
        <v>596.16666999999995</v>
      </c>
      <c r="F337" s="1" t="s">
        <v>0</v>
      </c>
      <c r="G337" s="1" t="s">
        <v>0</v>
      </c>
      <c r="H337" s="1" t="s">
        <v>0</v>
      </c>
      <c r="I337" s="1" t="s">
        <v>0</v>
      </c>
      <c r="J337" s="1">
        <v>185785.741334561</v>
      </c>
    </row>
    <row r="338" spans="1:10" x14ac:dyDescent="0.35">
      <c r="A338" t="s">
        <v>6</v>
      </c>
      <c r="B338">
        <v>5693</v>
      </c>
      <c r="C338">
        <v>2010</v>
      </c>
      <c r="D338">
        <v>3</v>
      </c>
      <c r="E338" s="1">
        <v>622.40833999999995</v>
      </c>
      <c r="F338" s="1" t="s">
        <v>0</v>
      </c>
      <c r="G338" s="1" t="s">
        <v>0</v>
      </c>
      <c r="H338" s="1" t="s">
        <v>0</v>
      </c>
      <c r="I338" s="1" t="s">
        <v>0</v>
      </c>
      <c r="J338" s="1">
        <v>168939.051110951</v>
      </c>
    </row>
    <row r="339" spans="1:10" x14ac:dyDescent="0.35">
      <c r="A339" t="s">
        <v>6</v>
      </c>
      <c r="B339">
        <v>5693</v>
      </c>
      <c r="C339">
        <v>2010</v>
      </c>
      <c r="D339">
        <v>4</v>
      </c>
      <c r="E339" s="1">
        <v>669.83335</v>
      </c>
      <c r="F339" s="1" t="s">
        <v>0</v>
      </c>
      <c r="G339" s="1" t="s">
        <v>0</v>
      </c>
      <c r="H339" s="1" t="s">
        <v>0</v>
      </c>
      <c r="I339" s="1" t="s">
        <v>0</v>
      </c>
      <c r="J339" s="1">
        <v>222633.11720427001</v>
      </c>
    </row>
    <row r="340" spans="1:10" x14ac:dyDescent="0.35">
      <c r="A340" t="s">
        <v>6</v>
      </c>
      <c r="B340">
        <v>5693</v>
      </c>
      <c r="C340">
        <v>2010</v>
      </c>
      <c r="D340">
        <v>5</v>
      </c>
      <c r="E340" s="1">
        <v>744</v>
      </c>
      <c r="F340" s="1" t="s">
        <v>0</v>
      </c>
      <c r="G340" s="1" t="s">
        <v>0</v>
      </c>
      <c r="H340" s="1" t="s">
        <v>0</v>
      </c>
      <c r="I340" s="1" t="s">
        <v>0</v>
      </c>
      <c r="J340" s="1">
        <v>252526.34641145801</v>
      </c>
    </row>
    <row r="341" spans="1:10" x14ac:dyDescent="0.35">
      <c r="A341" t="s">
        <v>6</v>
      </c>
      <c r="B341">
        <v>5693</v>
      </c>
      <c r="C341">
        <v>2010</v>
      </c>
      <c r="D341">
        <v>6</v>
      </c>
      <c r="E341" s="1">
        <v>715.66666999999995</v>
      </c>
      <c r="F341" s="1" t="s">
        <v>0</v>
      </c>
      <c r="G341" s="1" t="s">
        <v>0</v>
      </c>
      <c r="H341" s="1" t="s">
        <v>0</v>
      </c>
      <c r="I341" s="1" t="s">
        <v>0</v>
      </c>
      <c r="J341" s="1">
        <v>210363.840612934</v>
      </c>
    </row>
    <row r="342" spans="1:10" x14ac:dyDescent="0.35">
      <c r="A342" t="s">
        <v>6</v>
      </c>
      <c r="B342">
        <v>5693</v>
      </c>
      <c r="C342">
        <v>2010</v>
      </c>
      <c r="D342">
        <v>7</v>
      </c>
      <c r="E342" s="1">
        <v>743.5</v>
      </c>
      <c r="F342" s="1" t="s">
        <v>0</v>
      </c>
      <c r="G342" s="1" t="s">
        <v>0</v>
      </c>
      <c r="H342" s="1" t="s">
        <v>0</v>
      </c>
      <c r="I342" s="1" t="s">
        <v>0</v>
      </c>
      <c r="J342" s="1">
        <v>198041.39615416701</v>
      </c>
    </row>
    <row r="343" spans="1:10" x14ac:dyDescent="0.35">
      <c r="A343" t="s">
        <v>6</v>
      </c>
      <c r="B343">
        <v>5693</v>
      </c>
      <c r="C343">
        <v>2010</v>
      </c>
      <c r="D343">
        <v>8</v>
      </c>
      <c r="E343" s="1">
        <v>420.26666</v>
      </c>
      <c r="F343" s="1" t="s">
        <v>0</v>
      </c>
      <c r="G343" s="1" t="s">
        <v>0</v>
      </c>
      <c r="H343" s="1" t="s">
        <v>0</v>
      </c>
      <c r="I343" s="1" t="s">
        <v>0</v>
      </c>
      <c r="J343" s="1">
        <v>108631.75795894599</v>
      </c>
    </row>
    <row r="344" spans="1:10" x14ac:dyDescent="0.35">
      <c r="A344" t="s">
        <v>6</v>
      </c>
      <c r="B344">
        <v>5693</v>
      </c>
      <c r="C344">
        <v>2010</v>
      </c>
      <c r="D344">
        <v>9</v>
      </c>
      <c r="E344" s="1">
        <v>631.15832999999998</v>
      </c>
      <c r="F344" s="1" t="s">
        <v>0</v>
      </c>
      <c r="G344" s="1" t="s">
        <v>0</v>
      </c>
      <c r="H344" s="1" t="s">
        <v>0</v>
      </c>
      <c r="I344" s="1" t="s">
        <v>0</v>
      </c>
      <c r="J344" s="1">
        <v>145251.24517686499</v>
      </c>
    </row>
    <row r="345" spans="1:10" x14ac:dyDescent="0.35">
      <c r="A345" t="s">
        <v>6</v>
      </c>
      <c r="B345">
        <v>5693</v>
      </c>
      <c r="C345">
        <v>2010</v>
      </c>
      <c r="D345">
        <v>10</v>
      </c>
      <c r="E345" s="1">
        <v>700.57498999999996</v>
      </c>
      <c r="F345" s="1" t="s">
        <v>0</v>
      </c>
      <c r="G345" s="1" t="s">
        <v>0</v>
      </c>
      <c r="H345" s="1" t="s">
        <v>0</v>
      </c>
      <c r="I345" s="1" t="s">
        <v>0</v>
      </c>
      <c r="J345" s="1">
        <v>194727.431412784</v>
      </c>
    </row>
    <row r="346" spans="1:10" x14ac:dyDescent="0.35">
      <c r="A346" t="s">
        <v>6</v>
      </c>
      <c r="B346">
        <v>5693</v>
      </c>
      <c r="C346">
        <v>2010</v>
      </c>
      <c r="D346">
        <v>11</v>
      </c>
      <c r="E346" s="1">
        <v>644.84167000000002</v>
      </c>
      <c r="F346" s="1" t="s">
        <v>0</v>
      </c>
      <c r="G346" s="1" t="s">
        <v>0</v>
      </c>
      <c r="H346" s="1" t="s">
        <v>0</v>
      </c>
      <c r="I346" s="1" t="s">
        <v>0</v>
      </c>
      <c r="J346" s="1">
        <v>167466.12895319401</v>
      </c>
    </row>
    <row r="347" spans="1:10" x14ac:dyDescent="0.35">
      <c r="A347" t="s">
        <v>6</v>
      </c>
      <c r="B347">
        <v>5693</v>
      </c>
      <c r="C347">
        <v>2010</v>
      </c>
      <c r="D347">
        <v>12</v>
      </c>
      <c r="E347" s="1">
        <v>716.83334000000002</v>
      </c>
      <c r="F347" s="1" t="s">
        <v>0</v>
      </c>
      <c r="G347" s="1" t="s">
        <v>0</v>
      </c>
      <c r="H347" s="1" t="s">
        <v>0</v>
      </c>
      <c r="I347" s="1" t="s">
        <v>0</v>
      </c>
      <c r="J347" s="1">
        <v>188426.12491277501</v>
      </c>
    </row>
    <row r="348" spans="1:10" x14ac:dyDescent="0.35">
      <c r="A348" t="s">
        <v>6</v>
      </c>
      <c r="B348">
        <v>5693</v>
      </c>
      <c r="C348">
        <v>2011</v>
      </c>
      <c r="D348">
        <v>1</v>
      </c>
      <c r="E348" s="1">
        <v>731.08333000000005</v>
      </c>
      <c r="F348" s="1" t="s">
        <v>0</v>
      </c>
      <c r="G348" s="1" t="s">
        <v>0</v>
      </c>
      <c r="H348" s="1" t="s">
        <v>0</v>
      </c>
      <c r="I348" s="1" t="s">
        <v>0</v>
      </c>
      <c r="J348" s="1">
        <v>189083.650330417</v>
      </c>
    </row>
    <row r="349" spans="1:10" x14ac:dyDescent="0.35">
      <c r="A349" t="s">
        <v>6</v>
      </c>
      <c r="B349">
        <v>5693</v>
      </c>
      <c r="C349">
        <v>2011</v>
      </c>
      <c r="D349">
        <v>2</v>
      </c>
      <c r="E349" s="1">
        <v>536.74998000000005</v>
      </c>
      <c r="F349" s="1" t="s">
        <v>0</v>
      </c>
      <c r="G349" s="1" t="s">
        <v>0</v>
      </c>
      <c r="H349" s="1" t="s">
        <v>0</v>
      </c>
      <c r="I349" s="1" t="s">
        <v>0</v>
      </c>
      <c r="J349" s="1">
        <v>135389.67994562699</v>
      </c>
    </row>
    <row r="350" spans="1:10" x14ac:dyDescent="0.35">
      <c r="A350" t="s">
        <v>6</v>
      </c>
      <c r="B350">
        <v>5693</v>
      </c>
      <c r="C350">
        <v>2011</v>
      </c>
      <c r="D350">
        <v>3</v>
      </c>
      <c r="E350" s="1">
        <v>716.25000999999997</v>
      </c>
      <c r="F350" s="1" t="s">
        <v>0</v>
      </c>
      <c r="G350" s="1" t="s">
        <v>0</v>
      </c>
      <c r="H350" s="1" t="s">
        <v>0</v>
      </c>
      <c r="I350" s="1" t="s">
        <v>0</v>
      </c>
      <c r="J350" s="1">
        <v>184841.17272310299</v>
      </c>
    </row>
    <row r="351" spans="1:10" x14ac:dyDescent="0.35">
      <c r="A351" t="s">
        <v>6</v>
      </c>
      <c r="B351">
        <v>5693</v>
      </c>
      <c r="C351">
        <v>2011</v>
      </c>
      <c r="D351">
        <v>4</v>
      </c>
      <c r="E351" s="1">
        <v>696.5</v>
      </c>
      <c r="F351" s="1" t="s">
        <v>0</v>
      </c>
      <c r="G351" s="1" t="s">
        <v>0</v>
      </c>
      <c r="H351" s="1" t="s">
        <v>0</v>
      </c>
      <c r="I351" s="1" t="s">
        <v>0</v>
      </c>
      <c r="J351" s="1">
        <v>180529.418434508</v>
      </c>
    </row>
    <row r="352" spans="1:10" x14ac:dyDescent="0.35">
      <c r="A352" t="s">
        <v>6</v>
      </c>
      <c r="B352">
        <v>5693</v>
      </c>
      <c r="C352">
        <v>2011</v>
      </c>
      <c r="D352">
        <v>5</v>
      </c>
      <c r="E352" s="1">
        <v>737.25000999999997</v>
      </c>
      <c r="F352" s="1" t="s">
        <v>0</v>
      </c>
      <c r="G352" s="1" t="s">
        <v>0</v>
      </c>
      <c r="H352" s="1" t="s">
        <v>0</v>
      </c>
      <c r="I352" s="1" t="s">
        <v>0</v>
      </c>
      <c r="J352" s="1">
        <v>188176.55544130999</v>
      </c>
    </row>
    <row r="353" spans="1:10" x14ac:dyDescent="0.35">
      <c r="A353" t="s">
        <v>6</v>
      </c>
      <c r="B353">
        <v>5693</v>
      </c>
      <c r="C353">
        <v>2011</v>
      </c>
      <c r="D353">
        <v>6</v>
      </c>
      <c r="E353" s="1">
        <v>436.09167000000002</v>
      </c>
      <c r="F353" s="1" t="s">
        <v>0</v>
      </c>
      <c r="G353" s="1" t="s">
        <v>0</v>
      </c>
      <c r="H353" s="1" t="s">
        <v>0</v>
      </c>
      <c r="I353" s="1" t="s">
        <v>0</v>
      </c>
      <c r="J353" s="1">
        <v>120235.26120116199</v>
      </c>
    </row>
    <row r="354" spans="1:10" x14ac:dyDescent="0.35">
      <c r="A354" t="s">
        <v>6</v>
      </c>
      <c r="B354">
        <v>5693</v>
      </c>
      <c r="C354">
        <v>2011</v>
      </c>
      <c r="D354">
        <v>7</v>
      </c>
      <c r="E354" s="1">
        <v>248.09168</v>
      </c>
      <c r="F354" s="1" t="s">
        <v>0</v>
      </c>
      <c r="G354" s="1" t="s">
        <v>0</v>
      </c>
      <c r="H354" s="1" t="s">
        <v>0</v>
      </c>
      <c r="I354" s="1" t="s">
        <v>0</v>
      </c>
      <c r="J354" s="1">
        <v>65179.632855416698</v>
      </c>
    </row>
    <row r="355" spans="1:10" x14ac:dyDescent="0.35">
      <c r="A355" t="s">
        <v>6</v>
      </c>
      <c r="B355">
        <v>5693</v>
      </c>
      <c r="C355">
        <v>2011</v>
      </c>
      <c r="D355">
        <v>8</v>
      </c>
      <c r="E355" s="1">
        <v>642.82500000000005</v>
      </c>
      <c r="F355" s="1" t="s">
        <v>0</v>
      </c>
      <c r="G355" s="1" t="s">
        <v>0</v>
      </c>
      <c r="H355" s="1" t="s">
        <v>0</v>
      </c>
      <c r="I355" s="1" t="s">
        <v>0</v>
      </c>
      <c r="J355" s="1">
        <v>173404.70385102299</v>
      </c>
    </row>
    <row r="356" spans="1:10" x14ac:dyDescent="0.35">
      <c r="A356" t="s">
        <v>6</v>
      </c>
      <c r="B356">
        <v>5693</v>
      </c>
      <c r="C356">
        <v>2011</v>
      </c>
      <c r="D356">
        <v>9</v>
      </c>
      <c r="E356" s="1">
        <v>689.16665999999998</v>
      </c>
      <c r="F356" s="1" t="s">
        <v>0</v>
      </c>
      <c r="G356" s="1" t="s">
        <v>0</v>
      </c>
      <c r="H356" s="1" t="s">
        <v>0</v>
      </c>
      <c r="I356" s="1" t="s">
        <v>0</v>
      </c>
      <c r="J356" s="1">
        <v>174968.31468000001</v>
      </c>
    </row>
    <row r="357" spans="1:10" x14ac:dyDescent="0.35">
      <c r="A357" t="s">
        <v>6</v>
      </c>
      <c r="B357">
        <v>5693</v>
      </c>
      <c r="C357">
        <v>2011</v>
      </c>
      <c r="D357">
        <v>10</v>
      </c>
      <c r="E357" s="1">
        <v>329.05</v>
      </c>
      <c r="F357" s="1" t="s">
        <v>0</v>
      </c>
      <c r="G357" s="1" t="s">
        <v>0</v>
      </c>
      <c r="H357" s="1" t="s">
        <v>0</v>
      </c>
      <c r="I357" s="1" t="s">
        <v>0</v>
      </c>
      <c r="J357" s="1">
        <v>77827.956832708296</v>
      </c>
    </row>
    <row r="358" spans="1:10" x14ac:dyDescent="0.35">
      <c r="A358" t="s">
        <v>6</v>
      </c>
      <c r="B358">
        <v>5693</v>
      </c>
      <c r="C358">
        <v>2011</v>
      </c>
      <c r="D358">
        <v>11</v>
      </c>
      <c r="E358" s="1">
        <v>475.16665</v>
      </c>
      <c r="F358" s="1" t="s">
        <v>0</v>
      </c>
      <c r="G358" s="1" t="s">
        <v>0</v>
      </c>
      <c r="H358" s="1" t="s">
        <v>0</v>
      </c>
      <c r="I358" s="1" t="s">
        <v>0</v>
      </c>
      <c r="J358" s="1">
        <v>121602.289256042</v>
      </c>
    </row>
    <row r="359" spans="1:10" x14ac:dyDescent="0.35">
      <c r="A359" t="s">
        <v>6</v>
      </c>
      <c r="B359">
        <v>5693</v>
      </c>
      <c r="C359">
        <v>2011</v>
      </c>
      <c r="D359">
        <v>12</v>
      </c>
      <c r="E359" s="1">
        <v>438.68335000000002</v>
      </c>
      <c r="F359" s="1" t="s">
        <v>0</v>
      </c>
      <c r="G359" s="1" t="s">
        <v>0</v>
      </c>
      <c r="H359" s="1" t="s">
        <v>0</v>
      </c>
      <c r="I359" s="1" t="s">
        <v>0</v>
      </c>
      <c r="J359" s="1">
        <v>109912.560993958</v>
      </c>
    </row>
    <row r="360" spans="1:10" x14ac:dyDescent="0.35">
      <c r="A360" t="s">
        <v>6</v>
      </c>
      <c r="B360">
        <v>5693</v>
      </c>
      <c r="C360">
        <v>2012</v>
      </c>
      <c r="D360">
        <v>1</v>
      </c>
      <c r="E360" s="1">
        <v>426.25</v>
      </c>
      <c r="F360" s="1" t="s">
        <v>0</v>
      </c>
      <c r="G360" s="1" t="s">
        <v>0</v>
      </c>
      <c r="H360" s="1" t="s">
        <v>0</v>
      </c>
      <c r="I360" s="1" t="s">
        <v>0</v>
      </c>
      <c r="J360" s="1">
        <v>91244.764263749996</v>
      </c>
    </row>
    <row r="361" spans="1:10" x14ac:dyDescent="0.35">
      <c r="A361" t="s">
        <v>6</v>
      </c>
      <c r="B361">
        <v>5693</v>
      </c>
      <c r="C361">
        <v>2012</v>
      </c>
      <c r="D361">
        <v>2</v>
      </c>
      <c r="E361" s="1">
        <v>691.08333000000005</v>
      </c>
      <c r="F361" s="1" t="s">
        <v>0</v>
      </c>
      <c r="G361" s="1" t="s">
        <v>0</v>
      </c>
      <c r="H361" s="1" t="s">
        <v>0</v>
      </c>
      <c r="I361" s="1" t="s">
        <v>0</v>
      </c>
      <c r="J361" s="1">
        <v>147124.84801437499</v>
      </c>
    </row>
    <row r="362" spans="1:10" x14ac:dyDescent="0.35">
      <c r="A362" t="s">
        <v>6</v>
      </c>
      <c r="B362">
        <v>5693</v>
      </c>
      <c r="C362">
        <v>2012</v>
      </c>
      <c r="D362">
        <v>3</v>
      </c>
      <c r="E362" s="1">
        <v>735.08334000000002</v>
      </c>
      <c r="F362" s="1" t="s">
        <v>0</v>
      </c>
      <c r="G362" s="1" t="s">
        <v>0</v>
      </c>
      <c r="H362" s="1" t="s">
        <v>0</v>
      </c>
      <c r="I362" s="1" t="s">
        <v>0</v>
      </c>
      <c r="J362" s="1">
        <v>149154.71056209199</v>
      </c>
    </row>
    <row r="363" spans="1:10" x14ac:dyDescent="0.35">
      <c r="A363" t="s">
        <v>6</v>
      </c>
      <c r="B363">
        <v>5693</v>
      </c>
      <c r="C363">
        <v>2012</v>
      </c>
      <c r="D363">
        <v>4</v>
      </c>
      <c r="E363" s="1">
        <v>720</v>
      </c>
      <c r="F363" s="1" t="s">
        <v>0</v>
      </c>
      <c r="G363" s="1" t="s">
        <v>0</v>
      </c>
      <c r="H363" s="1" t="s">
        <v>0</v>
      </c>
      <c r="I363" s="1" t="s">
        <v>0</v>
      </c>
      <c r="J363" s="1">
        <v>147365.65297374999</v>
      </c>
    </row>
    <row r="364" spans="1:10" x14ac:dyDescent="0.35">
      <c r="A364" t="s">
        <v>6</v>
      </c>
      <c r="B364">
        <v>5693</v>
      </c>
      <c r="C364">
        <v>2012</v>
      </c>
      <c r="D364">
        <v>5</v>
      </c>
      <c r="E364" s="1">
        <v>733.08334000000002</v>
      </c>
      <c r="F364" s="1" t="s">
        <v>0</v>
      </c>
      <c r="G364" s="1" t="s">
        <v>0</v>
      </c>
      <c r="H364" s="1" t="s">
        <v>0</v>
      </c>
      <c r="I364" s="1" t="s">
        <v>0</v>
      </c>
      <c r="J364" s="1">
        <v>149129.814314583</v>
      </c>
    </row>
    <row r="365" spans="1:10" x14ac:dyDescent="0.35">
      <c r="A365" t="s">
        <v>6</v>
      </c>
      <c r="B365">
        <v>5693</v>
      </c>
      <c r="C365">
        <v>2012</v>
      </c>
      <c r="D365">
        <v>6</v>
      </c>
      <c r="E365" s="1">
        <v>710.16666999999995</v>
      </c>
      <c r="F365" s="1" t="s">
        <v>0</v>
      </c>
      <c r="G365" s="1" t="s">
        <v>0</v>
      </c>
      <c r="H365" s="1" t="s">
        <v>0</v>
      </c>
      <c r="I365" s="1" t="s">
        <v>0</v>
      </c>
      <c r="J365" s="1">
        <v>144762.430550208</v>
      </c>
    </row>
    <row r="366" spans="1:10" x14ac:dyDescent="0.35">
      <c r="A366" t="s">
        <v>6</v>
      </c>
      <c r="B366">
        <v>5693</v>
      </c>
      <c r="C366">
        <v>2012</v>
      </c>
      <c r="D366">
        <v>7</v>
      </c>
      <c r="E366" s="1">
        <v>744</v>
      </c>
      <c r="F366" s="1" t="s">
        <v>0</v>
      </c>
      <c r="G366" s="1" t="s">
        <v>0</v>
      </c>
      <c r="H366" s="1" t="s">
        <v>0</v>
      </c>
      <c r="I366" s="1" t="s">
        <v>0</v>
      </c>
      <c r="J366" s="1">
        <v>150430.98628000001</v>
      </c>
    </row>
    <row r="367" spans="1:10" x14ac:dyDescent="0.35">
      <c r="A367" t="s">
        <v>6</v>
      </c>
      <c r="B367">
        <v>5693</v>
      </c>
      <c r="C367">
        <v>2012</v>
      </c>
      <c r="D367">
        <v>8</v>
      </c>
      <c r="E367" s="1">
        <v>292.125</v>
      </c>
      <c r="F367" s="1" t="s">
        <v>0</v>
      </c>
      <c r="G367" s="1" t="s">
        <v>0</v>
      </c>
      <c r="H367" s="1" t="s">
        <v>0</v>
      </c>
      <c r="I367" s="1" t="s">
        <v>0</v>
      </c>
      <c r="J367" s="1">
        <v>58172.374618958303</v>
      </c>
    </row>
    <row r="368" spans="1:10" x14ac:dyDescent="0.35">
      <c r="A368" t="s">
        <v>6</v>
      </c>
      <c r="B368">
        <v>5693</v>
      </c>
      <c r="C368">
        <v>2012</v>
      </c>
      <c r="D368">
        <v>9</v>
      </c>
      <c r="E368" s="1">
        <v>31.658329999999999</v>
      </c>
      <c r="F368" s="1" t="s">
        <v>0</v>
      </c>
      <c r="G368" s="1" t="s">
        <v>0</v>
      </c>
      <c r="H368" s="1" t="s">
        <v>0</v>
      </c>
      <c r="I368" s="1" t="s">
        <v>0</v>
      </c>
      <c r="J368" s="1">
        <v>6025.0077433333299</v>
      </c>
    </row>
    <row r="369" spans="1:10" x14ac:dyDescent="0.35">
      <c r="A369" t="s">
        <v>6</v>
      </c>
      <c r="B369">
        <v>5693</v>
      </c>
      <c r="C369">
        <v>2012</v>
      </c>
      <c r="D369">
        <v>10</v>
      </c>
      <c r="E369" s="1">
        <v>507.99164999999999</v>
      </c>
      <c r="F369" s="1" t="s">
        <v>0</v>
      </c>
      <c r="G369" s="1" t="s">
        <v>0</v>
      </c>
      <c r="H369" s="1" t="s">
        <v>0</v>
      </c>
      <c r="I369" s="1" t="s">
        <v>0</v>
      </c>
      <c r="J369" s="1">
        <v>110449.68220083301</v>
      </c>
    </row>
    <row r="370" spans="1:10" x14ac:dyDescent="0.35">
      <c r="A370" t="s">
        <v>6</v>
      </c>
      <c r="B370">
        <v>5693</v>
      </c>
      <c r="C370">
        <v>2012</v>
      </c>
      <c r="D370">
        <v>11</v>
      </c>
      <c r="E370" s="1">
        <v>720</v>
      </c>
      <c r="F370" s="1" t="s">
        <v>0</v>
      </c>
      <c r="G370" s="1" t="s">
        <v>0</v>
      </c>
      <c r="H370" s="1" t="s">
        <v>0</v>
      </c>
      <c r="I370" s="1" t="s">
        <v>0</v>
      </c>
      <c r="J370" s="1">
        <v>162488.446784167</v>
      </c>
    </row>
    <row r="371" spans="1:10" x14ac:dyDescent="0.35">
      <c r="A371" t="s">
        <v>6</v>
      </c>
      <c r="B371">
        <v>5693</v>
      </c>
      <c r="C371">
        <v>2012</v>
      </c>
      <c r="D371">
        <v>12</v>
      </c>
      <c r="E371" s="1">
        <v>698.50000999999997</v>
      </c>
      <c r="F371" s="1" t="s">
        <v>0</v>
      </c>
      <c r="G371" s="1" t="s">
        <v>0</v>
      </c>
      <c r="H371" s="1" t="s">
        <v>0</v>
      </c>
      <c r="I371" s="1" t="s">
        <v>0</v>
      </c>
      <c r="J371" s="1">
        <v>144569.261914792</v>
      </c>
    </row>
    <row r="372" spans="1:10" x14ac:dyDescent="0.35">
      <c r="A372" t="s">
        <v>6</v>
      </c>
      <c r="B372">
        <v>5693</v>
      </c>
      <c r="C372">
        <v>2013</v>
      </c>
      <c r="D372">
        <v>1</v>
      </c>
      <c r="E372" s="1">
        <v>734.25000999999997</v>
      </c>
      <c r="F372" s="1" t="s">
        <v>0</v>
      </c>
      <c r="G372" s="1" t="s">
        <v>0</v>
      </c>
      <c r="H372" s="1" t="s">
        <v>0</v>
      </c>
      <c r="I372" s="1" t="s">
        <v>0</v>
      </c>
      <c r="J372" s="1">
        <v>155627.70428812501</v>
      </c>
    </row>
    <row r="373" spans="1:10" x14ac:dyDescent="0.35">
      <c r="A373" t="s">
        <v>6</v>
      </c>
      <c r="B373">
        <v>5693</v>
      </c>
      <c r="C373">
        <v>2013</v>
      </c>
      <c r="D373">
        <v>2</v>
      </c>
      <c r="E373" s="1">
        <v>672</v>
      </c>
      <c r="F373" s="1" t="s">
        <v>0</v>
      </c>
      <c r="G373" s="1" t="s">
        <v>0</v>
      </c>
      <c r="H373" s="1" t="s">
        <v>0</v>
      </c>
      <c r="I373" s="1" t="s">
        <v>0</v>
      </c>
      <c r="J373" s="1">
        <v>138901.75542999999</v>
      </c>
    </row>
    <row r="374" spans="1:10" x14ac:dyDescent="0.35">
      <c r="A374" t="s">
        <v>6</v>
      </c>
      <c r="B374">
        <v>5693</v>
      </c>
      <c r="C374">
        <v>2013</v>
      </c>
      <c r="D374">
        <v>3</v>
      </c>
      <c r="E374" s="1">
        <v>483.35167999999999</v>
      </c>
      <c r="F374" s="1" t="s">
        <v>0</v>
      </c>
      <c r="G374" s="1" t="s">
        <v>0</v>
      </c>
      <c r="H374" s="1" t="s">
        <v>0</v>
      </c>
      <c r="I374" s="1" t="s">
        <v>0</v>
      </c>
      <c r="J374" s="1">
        <v>96659.952466250004</v>
      </c>
    </row>
    <row r="375" spans="1:10" x14ac:dyDescent="0.35">
      <c r="A375" t="s">
        <v>6</v>
      </c>
      <c r="B375">
        <v>5693</v>
      </c>
      <c r="C375">
        <v>2013</v>
      </c>
      <c r="D375">
        <v>4</v>
      </c>
      <c r="E375" s="1">
        <v>563.50333000000001</v>
      </c>
      <c r="F375" s="1" t="s">
        <v>0</v>
      </c>
      <c r="G375" s="1" t="s">
        <v>0</v>
      </c>
      <c r="H375" s="1" t="s">
        <v>0</v>
      </c>
      <c r="I375" s="1" t="s">
        <v>0</v>
      </c>
      <c r="J375" s="1">
        <v>116028.21117708299</v>
      </c>
    </row>
    <row r="376" spans="1:10" x14ac:dyDescent="0.35">
      <c r="A376" t="s">
        <v>6</v>
      </c>
      <c r="B376">
        <v>5693</v>
      </c>
      <c r="C376">
        <v>2013</v>
      </c>
      <c r="D376">
        <v>5</v>
      </c>
      <c r="E376" s="1">
        <v>681.80001000000004</v>
      </c>
      <c r="F376" s="1" t="s">
        <v>0</v>
      </c>
      <c r="G376" s="1" t="s">
        <v>0</v>
      </c>
      <c r="H376" s="1" t="s">
        <v>0</v>
      </c>
      <c r="I376" s="1" t="s">
        <v>0</v>
      </c>
      <c r="J376" s="1">
        <v>156535.02406208299</v>
      </c>
    </row>
    <row r="377" spans="1:10" x14ac:dyDescent="0.35">
      <c r="A377" t="s">
        <v>6</v>
      </c>
      <c r="B377">
        <v>5693</v>
      </c>
      <c r="C377">
        <v>2013</v>
      </c>
      <c r="D377">
        <v>6</v>
      </c>
      <c r="E377" s="1">
        <v>573.33333000000005</v>
      </c>
      <c r="F377" s="1" t="s">
        <v>0</v>
      </c>
      <c r="G377" s="1" t="s">
        <v>0</v>
      </c>
      <c r="H377" s="1" t="s">
        <v>0</v>
      </c>
      <c r="I377" s="1" t="s">
        <v>0</v>
      </c>
      <c r="J377" s="1">
        <v>132162.427204167</v>
      </c>
    </row>
    <row r="378" spans="1:10" x14ac:dyDescent="0.35">
      <c r="A378" t="s">
        <v>6</v>
      </c>
      <c r="B378">
        <v>5693</v>
      </c>
      <c r="C378">
        <v>2013</v>
      </c>
      <c r="D378">
        <v>7</v>
      </c>
      <c r="E378" s="1">
        <v>652.70833000000005</v>
      </c>
      <c r="F378" s="1" t="s">
        <v>0</v>
      </c>
      <c r="G378" s="1" t="s">
        <v>0</v>
      </c>
      <c r="H378" s="1" t="s">
        <v>0</v>
      </c>
      <c r="I378" s="1" t="s">
        <v>0</v>
      </c>
      <c r="J378" s="1">
        <v>133542.635932292</v>
      </c>
    </row>
    <row r="379" spans="1:10" x14ac:dyDescent="0.35">
      <c r="A379" t="s">
        <v>6</v>
      </c>
      <c r="B379">
        <v>5693</v>
      </c>
      <c r="C379">
        <v>2013</v>
      </c>
      <c r="D379">
        <v>8</v>
      </c>
      <c r="E379" s="1">
        <v>689.71666000000005</v>
      </c>
      <c r="F379" s="1" t="s">
        <v>0</v>
      </c>
      <c r="G379" s="1" t="s">
        <v>0</v>
      </c>
      <c r="H379" s="1" t="s">
        <v>0</v>
      </c>
      <c r="I379" s="1" t="s">
        <v>0</v>
      </c>
      <c r="J379" s="1">
        <v>156070.85594812501</v>
      </c>
    </row>
    <row r="380" spans="1:10" x14ac:dyDescent="0.35">
      <c r="A380" t="s">
        <v>6</v>
      </c>
      <c r="B380">
        <v>5693</v>
      </c>
      <c r="C380">
        <v>2013</v>
      </c>
      <c r="D380">
        <v>9</v>
      </c>
      <c r="E380" s="1">
        <v>608.44167000000004</v>
      </c>
      <c r="F380" s="1" t="s">
        <v>0</v>
      </c>
      <c r="G380" s="1" t="s">
        <v>0</v>
      </c>
      <c r="H380" s="1" t="s">
        <v>0</v>
      </c>
      <c r="I380" s="1" t="s">
        <v>0</v>
      </c>
      <c r="J380" s="1">
        <v>130322.732728125</v>
      </c>
    </row>
    <row r="381" spans="1:10" x14ac:dyDescent="0.35">
      <c r="A381" t="s">
        <v>6</v>
      </c>
      <c r="B381">
        <v>5693</v>
      </c>
      <c r="C381">
        <v>2013</v>
      </c>
      <c r="D381">
        <v>10</v>
      </c>
      <c r="E381" s="1">
        <v>650.41666999999995</v>
      </c>
      <c r="F381" s="1" t="s">
        <v>0</v>
      </c>
      <c r="G381" s="1" t="s">
        <v>0</v>
      </c>
      <c r="H381" s="1" t="s">
        <v>0</v>
      </c>
      <c r="I381" s="1" t="s">
        <v>0</v>
      </c>
      <c r="J381" s="1">
        <v>144742.56787083301</v>
      </c>
    </row>
    <row r="382" spans="1:10" x14ac:dyDescent="0.35">
      <c r="A382" t="s">
        <v>6</v>
      </c>
      <c r="B382">
        <v>5693</v>
      </c>
      <c r="C382">
        <v>2013</v>
      </c>
      <c r="D382">
        <v>11</v>
      </c>
      <c r="E382" s="1">
        <v>682.33333000000005</v>
      </c>
      <c r="F382" s="1" t="s">
        <v>0</v>
      </c>
      <c r="G382" s="1" t="s">
        <v>0</v>
      </c>
      <c r="H382" s="1" t="s">
        <v>0</v>
      </c>
      <c r="I382" s="1" t="s">
        <v>0</v>
      </c>
      <c r="J382" s="1">
        <v>155972.70506124999</v>
      </c>
    </row>
    <row r="383" spans="1:10" x14ac:dyDescent="0.35">
      <c r="A383" t="s">
        <v>6</v>
      </c>
      <c r="B383">
        <v>5693</v>
      </c>
      <c r="C383">
        <v>2013</v>
      </c>
      <c r="D383">
        <v>12</v>
      </c>
      <c r="E383" s="1">
        <v>676.24999000000003</v>
      </c>
      <c r="F383" s="1" t="s">
        <v>0</v>
      </c>
      <c r="G383" s="1" t="s">
        <v>0</v>
      </c>
      <c r="H383" s="1" t="s">
        <v>0</v>
      </c>
      <c r="I383" s="1" t="s">
        <v>0</v>
      </c>
      <c r="J383" s="1">
        <v>148594.15725416699</v>
      </c>
    </row>
    <row r="384" spans="1:10" x14ac:dyDescent="0.35">
      <c r="A384" t="s">
        <v>6</v>
      </c>
      <c r="B384">
        <v>5693</v>
      </c>
      <c r="C384">
        <v>2014</v>
      </c>
      <c r="D384">
        <v>1</v>
      </c>
      <c r="E384" s="1">
        <v>682.08334000000002</v>
      </c>
      <c r="F384" s="1" t="s">
        <v>0</v>
      </c>
      <c r="G384" s="1" t="s">
        <v>0</v>
      </c>
      <c r="H384" s="1" t="s">
        <v>0</v>
      </c>
      <c r="I384" s="1" t="s">
        <v>0</v>
      </c>
      <c r="J384" s="1">
        <v>147807.99611625</v>
      </c>
    </row>
    <row r="385" spans="1:10" x14ac:dyDescent="0.35">
      <c r="A385" t="s">
        <v>6</v>
      </c>
      <c r="B385">
        <v>5693</v>
      </c>
      <c r="C385">
        <v>2014</v>
      </c>
      <c r="D385">
        <v>2</v>
      </c>
      <c r="E385" s="1">
        <v>579.10500000000002</v>
      </c>
      <c r="F385" s="1" t="s">
        <v>0</v>
      </c>
      <c r="G385" s="1" t="s">
        <v>0</v>
      </c>
      <c r="H385" s="1" t="s">
        <v>0</v>
      </c>
      <c r="I385" s="1" t="s">
        <v>0</v>
      </c>
      <c r="J385" s="1">
        <v>131023.21384</v>
      </c>
    </row>
    <row r="386" spans="1:10" x14ac:dyDescent="0.35">
      <c r="A386" t="s">
        <v>6</v>
      </c>
      <c r="B386">
        <v>5693</v>
      </c>
      <c r="C386">
        <v>2014</v>
      </c>
      <c r="D386">
        <v>3</v>
      </c>
      <c r="E386" s="1">
        <v>685.99999000000003</v>
      </c>
      <c r="F386" s="1" t="s">
        <v>0</v>
      </c>
      <c r="G386" s="1" t="s">
        <v>0</v>
      </c>
      <c r="H386" s="1" t="s">
        <v>0</v>
      </c>
      <c r="I386" s="1" t="s">
        <v>0</v>
      </c>
      <c r="J386" s="1">
        <v>154097.211248687</v>
      </c>
    </row>
    <row r="387" spans="1:10" x14ac:dyDescent="0.35">
      <c r="A387" t="s">
        <v>6</v>
      </c>
      <c r="B387">
        <v>5693</v>
      </c>
      <c r="C387">
        <v>2014</v>
      </c>
      <c r="D387">
        <v>4</v>
      </c>
      <c r="E387" s="1">
        <v>707.54166999999995</v>
      </c>
      <c r="F387" s="1" t="s">
        <v>0</v>
      </c>
      <c r="G387" s="1" t="s">
        <v>0</v>
      </c>
      <c r="H387" s="1" t="s">
        <v>0</v>
      </c>
      <c r="I387" s="1" t="s">
        <v>0</v>
      </c>
      <c r="J387" s="1">
        <v>185314.47003520801</v>
      </c>
    </row>
    <row r="388" spans="1:10" x14ac:dyDescent="0.35">
      <c r="A388" t="s">
        <v>6</v>
      </c>
      <c r="B388">
        <v>5693</v>
      </c>
      <c r="C388">
        <v>2014</v>
      </c>
      <c r="D388">
        <v>5</v>
      </c>
      <c r="E388" s="1">
        <v>606.33334000000002</v>
      </c>
      <c r="F388" s="1" t="s">
        <v>0</v>
      </c>
      <c r="G388" s="1" t="s">
        <v>0</v>
      </c>
      <c r="H388" s="1" t="s">
        <v>0</v>
      </c>
      <c r="I388" s="1" t="s">
        <v>0</v>
      </c>
      <c r="J388" s="1">
        <v>156189.17630393201</v>
      </c>
    </row>
    <row r="389" spans="1:10" x14ac:dyDescent="0.35">
      <c r="A389" t="s">
        <v>6</v>
      </c>
      <c r="B389">
        <v>5693</v>
      </c>
      <c r="C389">
        <v>2014</v>
      </c>
      <c r="D389">
        <v>6</v>
      </c>
      <c r="E389" s="1">
        <v>697.99643000000003</v>
      </c>
      <c r="F389" s="1" t="s">
        <v>0</v>
      </c>
      <c r="G389" s="1" t="s">
        <v>0</v>
      </c>
      <c r="H389" s="1" t="s">
        <v>0</v>
      </c>
      <c r="I389" s="1" t="s">
        <v>0</v>
      </c>
      <c r="J389" s="1">
        <v>202240.55791249999</v>
      </c>
    </row>
    <row r="390" spans="1:10" x14ac:dyDescent="0.35">
      <c r="A390" t="s">
        <v>6</v>
      </c>
      <c r="B390">
        <v>5693</v>
      </c>
      <c r="C390">
        <v>2014</v>
      </c>
      <c r="D390">
        <v>7</v>
      </c>
      <c r="E390" s="1">
        <v>742.16666999999995</v>
      </c>
      <c r="F390" s="1" t="s">
        <v>0</v>
      </c>
      <c r="G390" s="1" t="s">
        <v>0</v>
      </c>
      <c r="H390" s="1" t="s">
        <v>0</v>
      </c>
      <c r="I390" s="1" t="s">
        <v>0</v>
      </c>
      <c r="J390" s="1">
        <v>226583.879235</v>
      </c>
    </row>
    <row r="391" spans="1:10" x14ac:dyDescent="0.35">
      <c r="A391" t="s">
        <v>6</v>
      </c>
      <c r="B391">
        <v>5693</v>
      </c>
      <c r="C391">
        <v>2014</v>
      </c>
      <c r="D391">
        <v>8</v>
      </c>
      <c r="E391" s="1">
        <v>607.30001000000004</v>
      </c>
      <c r="F391" s="1" t="s">
        <v>0</v>
      </c>
      <c r="G391" s="1" t="s">
        <v>0</v>
      </c>
      <c r="H391" s="1" t="s">
        <v>0</v>
      </c>
      <c r="I391" s="1" t="s">
        <v>0</v>
      </c>
      <c r="J391" s="1">
        <v>184109.826053542</v>
      </c>
    </row>
    <row r="392" spans="1:10" x14ac:dyDescent="0.35">
      <c r="A392" t="s">
        <v>6</v>
      </c>
      <c r="B392">
        <v>5693</v>
      </c>
      <c r="C392">
        <v>2014</v>
      </c>
      <c r="D392">
        <v>9</v>
      </c>
      <c r="E392" s="1">
        <v>693.33333000000005</v>
      </c>
      <c r="F392" s="1" t="s">
        <v>0</v>
      </c>
      <c r="G392" s="1" t="s">
        <v>0</v>
      </c>
      <c r="H392" s="1" t="s">
        <v>0</v>
      </c>
      <c r="I392" s="1" t="s">
        <v>0</v>
      </c>
      <c r="J392" s="1">
        <v>199867.76395625001</v>
      </c>
    </row>
    <row r="393" spans="1:10" x14ac:dyDescent="0.35">
      <c r="A393" t="s">
        <v>6</v>
      </c>
      <c r="B393">
        <v>5693</v>
      </c>
      <c r="C393">
        <v>2014</v>
      </c>
      <c r="D393">
        <v>10</v>
      </c>
      <c r="E393" s="1">
        <v>742.33334000000002</v>
      </c>
      <c r="F393" s="1" t="s">
        <v>0</v>
      </c>
      <c r="G393" s="1" t="s">
        <v>0</v>
      </c>
      <c r="H393" s="1" t="s">
        <v>0</v>
      </c>
      <c r="I393" s="1" t="s">
        <v>0</v>
      </c>
      <c r="J393" s="1">
        <v>219621.85870388299</v>
      </c>
    </row>
    <row r="394" spans="1:10" x14ac:dyDescent="0.35">
      <c r="A394" t="s">
        <v>6</v>
      </c>
      <c r="B394">
        <v>5693</v>
      </c>
      <c r="C394">
        <v>2014</v>
      </c>
      <c r="D394">
        <v>11</v>
      </c>
      <c r="E394" s="1">
        <v>619.88333</v>
      </c>
      <c r="F394" s="1" t="s">
        <v>0</v>
      </c>
      <c r="G394" s="1" t="s">
        <v>0</v>
      </c>
      <c r="H394" s="1" t="s">
        <v>0</v>
      </c>
      <c r="I394" s="1" t="s">
        <v>0</v>
      </c>
      <c r="J394" s="1">
        <v>166856.737742917</v>
      </c>
    </row>
    <row r="395" spans="1:10" x14ac:dyDescent="0.35">
      <c r="A395" t="s">
        <v>6</v>
      </c>
      <c r="B395">
        <v>5693</v>
      </c>
      <c r="C395">
        <v>2014</v>
      </c>
      <c r="D395">
        <v>12</v>
      </c>
      <c r="E395" s="1">
        <v>292.05833000000001</v>
      </c>
      <c r="F395" s="1" t="s">
        <v>0</v>
      </c>
      <c r="G395" s="1" t="s">
        <v>0</v>
      </c>
      <c r="H395" s="1" t="s">
        <v>0</v>
      </c>
      <c r="I395" s="1" t="s">
        <v>0</v>
      </c>
      <c r="J395" s="1">
        <v>66671.231681250007</v>
      </c>
    </row>
    <row r="396" spans="1:10" x14ac:dyDescent="0.35">
      <c r="A396" t="s">
        <v>6</v>
      </c>
      <c r="B396">
        <v>5693</v>
      </c>
      <c r="C396">
        <v>2015</v>
      </c>
      <c r="D396">
        <v>1</v>
      </c>
      <c r="E396" s="1">
        <v>675.88333999999998</v>
      </c>
      <c r="F396" s="1" t="s">
        <v>0</v>
      </c>
      <c r="G396" s="1" t="s">
        <v>0</v>
      </c>
      <c r="H396" s="1" t="s">
        <v>0</v>
      </c>
      <c r="I396" s="1" t="s">
        <v>0</v>
      </c>
      <c r="J396" s="1">
        <v>81160.899210208299</v>
      </c>
    </row>
    <row r="397" spans="1:10" x14ac:dyDescent="0.35">
      <c r="A397" t="s">
        <v>6</v>
      </c>
      <c r="B397">
        <v>5693</v>
      </c>
      <c r="C397">
        <v>2015</v>
      </c>
      <c r="D397">
        <v>2</v>
      </c>
      <c r="E397" s="1">
        <v>588.88333999999998</v>
      </c>
      <c r="F397" s="1" t="s">
        <v>0</v>
      </c>
      <c r="G397" s="1" t="s">
        <v>0</v>
      </c>
      <c r="H397" s="1" t="s">
        <v>0</v>
      </c>
      <c r="I397" s="1" t="s">
        <v>0</v>
      </c>
      <c r="J397" s="1">
        <v>126376.884487292</v>
      </c>
    </row>
    <row r="398" spans="1:10" x14ac:dyDescent="0.35">
      <c r="A398" t="s">
        <v>6</v>
      </c>
      <c r="B398">
        <v>5693</v>
      </c>
      <c r="C398">
        <v>2015</v>
      </c>
      <c r="D398">
        <v>3</v>
      </c>
      <c r="E398" s="1">
        <v>744</v>
      </c>
      <c r="F398" s="1" t="s">
        <v>0</v>
      </c>
      <c r="G398" s="1" t="s">
        <v>0</v>
      </c>
      <c r="H398" s="1" t="s">
        <v>0</v>
      </c>
      <c r="I398" s="1" t="s">
        <v>0</v>
      </c>
      <c r="J398" s="1">
        <v>137054.803790462</v>
      </c>
    </row>
    <row r="399" spans="1:10" x14ac:dyDescent="0.35">
      <c r="A399" t="s">
        <v>6</v>
      </c>
      <c r="B399">
        <v>5693</v>
      </c>
      <c r="C399">
        <v>2015</v>
      </c>
      <c r="D399">
        <v>4</v>
      </c>
      <c r="E399" s="1">
        <v>707.66666999999995</v>
      </c>
      <c r="F399" s="1" t="s">
        <v>0</v>
      </c>
      <c r="G399" s="1" t="s">
        <v>0</v>
      </c>
      <c r="H399" s="1" t="s">
        <v>0</v>
      </c>
      <c r="I399" s="1" t="s">
        <v>0</v>
      </c>
      <c r="J399" s="1">
        <v>143683.084076667</v>
      </c>
    </row>
    <row r="400" spans="1:10" x14ac:dyDescent="0.35">
      <c r="A400" t="s">
        <v>6</v>
      </c>
      <c r="B400">
        <v>5693</v>
      </c>
      <c r="C400">
        <v>2015</v>
      </c>
      <c r="D400">
        <v>5</v>
      </c>
      <c r="E400" s="1">
        <v>744</v>
      </c>
      <c r="F400" s="1" t="s">
        <v>0</v>
      </c>
      <c r="G400" s="1" t="s">
        <v>0</v>
      </c>
      <c r="H400" s="1" t="s">
        <v>0</v>
      </c>
      <c r="I400" s="1" t="s">
        <v>0</v>
      </c>
      <c r="J400" s="1">
        <v>128648.16757999999</v>
      </c>
    </row>
    <row r="401" spans="1:10" x14ac:dyDescent="0.35">
      <c r="A401" t="s">
        <v>6</v>
      </c>
      <c r="B401">
        <v>5693</v>
      </c>
      <c r="C401">
        <v>2015</v>
      </c>
      <c r="D401">
        <v>6</v>
      </c>
      <c r="E401" s="1">
        <v>717.45</v>
      </c>
      <c r="F401" s="1" t="s">
        <v>0</v>
      </c>
      <c r="G401" s="1" t="s">
        <v>0</v>
      </c>
      <c r="H401" s="1" t="s">
        <v>0</v>
      </c>
      <c r="I401" s="1" t="s">
        <v>0</v>
      </c>
      <c r="J401" s="1">
        <v>161283.08737583301</v>
      </c>
    </row>
    <row r="402" spans="1:10" x14ac:dyDescent="0.35">
      <c r="A402" t="s">
        <v>6</v>
      </c>
      <c r="B402">
        <v>5693</v>
      </c>
      <c r="C402">
        <v>2015</v>
      </c>
      <c r="D402">
        <v>7</v>
      </c>
      <c r="E402" s="1">
        <v>739.67499999999995</v>
      </c>
      <c r="F402" s="1" t="s">
        <v>0</v>
      </c>
      <c r="G402" s="1" t="s">
        <v>0</v>
      </c>
      <c r="H402" s="1" t="s">
        <v>0</v>
      </c>
      <c r="I402" s="1" t="s">
        <v>0</v>
      </c>
      <c r="J402" s="1">
        <v>156312.54031166699</v>
      </c>
    </row>
    <row r="403" spans="1:10" x14ac:dyDescent="0.35">
      <c r="A403" t="s">
        <v>6</v>
      </c>
      <c r="B403">
        <v>5693</v>
      </c>
      <c r="C403">
        <v>2015</v>
      </c>
      <c r="D403">
        <v>8</v>
      </c>
      <c r="E403" s="1">
        <v>614.66736000000003</v>
      </c>
      <c r="F403" s="1" t="s">
        <v>0</v>
      </c>
      <c r="G403" s="1" t="s">
        <v>0</v>
      </c>
      <c r="H403" s="1" t="s">
        <v>0</v>
      </c>
      <c r="I403" s="1" t="s">
        <v>0</v>
      </c>
      <c r="J403" s="1">
        <v>114753.050129375</v>
      </c>
    </row>
    <row r="404" spans="1:10" x14ac:dyDescent="0.35">
      <c r="A404" t="s">
        <v>6</v>
      </c>
      <c r="B404">
        <v>5693</v>
      </c>
      <c r="C404">
        <v>2015</v>
      </c>
      <c r="D404">
        <v>9</v>
      </c>
      <c r="E404" s="1">
        <v>715.98375999999996</v>
      </c>
      <c r="F404" s="1" t="s">
        <v>0</v>
      </c>
      <c r="G404" s="1" t="s">
        <v>0</v>
      </c>
      <c r="H404" s="1" t="s">
        <v>0</v>
      </c>
      <c r="I404" s="1" t="s">
        <v>0</v>
      </c>
      <c r="J404" s="1">
        <v>133755.403172083</v>
      </c>
    </row>
    <row r="405" spans="1:10" x14ac:dyDescent="0.35">
      <c r="A405" t="s">
        <v>6</v>
      </c>
      <c r="B405">
        <v>5693</v>
      </c>
      <c r="C405">
        <v>2015</v>
      </c>
      <c r="D405">
        <v>10</v>
      </c>
      <c r="E405" s="1">
        <v>728.59946000000002</v>
      </c>
      <c r="F405" s="1" t="s">
        <v>0</v>
      </c>
      <c r="G405" s="1" t="s">
        <v>0</v>
      </c>
      <c r="H405" s="1" t="s">
        <v>0</v>
      </c>
      <c r="I405" s="1" t="s">
        <v>0</v>
      </c>
      <c r="J405" s="1">
        <v>135860.216532925</v>
      </c>
    </row>
    <row r="406" spans="1:10" x14ac:dyDescent="0.35">
      <c r="A406" t="s">
        <v>6</v>
      </c>
      <c r="B406">
        <v>5693</v>
      </c>
      <c r="C406">
        <v>2015</v>
      </c>
      <c r="D406">
        <v>11</v>
      </c>
      <c r="E406" s="1">
        <v>698.5</v>
      </c>
      <c r="F406" s="1" t="s">
        <v>0</v>
      </c>
      <c r="G406" s="1" t="s">
        <v>0</v>
      </c>
      <c r="H406" s="1" t="s">
        <v>0</v>
      </c>
      <c r="I406" s="1" t="s">
        <v>0</v>
      </c>
      <c r="J406" s="1">
        <v>160504.98263479199</v>
      </c>
    </row>
    <row r="407" spans="1:10" x14ac:dyDescent="0.35">
      <c r="A407" t="s">
        <v>6</v>
      </c>
      <c r="B407">
        <v>5693</v>
      </c>
      <c r="C407">
        <v>2015</v>
      </c>
      <c r="D407">
        <v>12</v>
      </c>
      <c r="E407" s="1">
        <v>739.24999000000003</v>
      </c>
      <c r="F407" s="1" t="s">
        <v>0</v>
      </c>
      <c r="G407" s="1" t="s">
        <v>0</v>
      </c>
      <c r="H407" s="1" t="s">
        <v>0</v>
      </c>
      <c r="I407" s="1" t="s">
        <v>0</v>
      </c>
      <c r="J407" s="1">
        <v>152921.636901458</v>
      </c>
    </row>
    <row r="408" spans="1:10" x14ac:dyDescent="0.35">
      <c r="A408" t="s">
        <v>6</v>
      </c>
      <c r="B408">
        <v>5693</v>
      </c>
      <c r="C408">
        <v>2016</v>
      </c>
      <c r="D408">
        <v>1</v>
      </c>
      <c r="E408" s="1">
        <v>721.33333000000005</v>
      </c>
      <c r="F408" s="1" t="s">
        <v>0</v>
      </c>
      <c r="G408" s="1" t="s">
        <v>0</v>
      </c>
      <c r="H408" s="1" t="s">
        <v>0</v>
      </c>
      <c r="I408" s="1" t="s">
        <v>0</v>
      </c>
      <c r="J408" s="1">
        <v>152129.93557458301</v>
      </c>
    </row>
    <row r="409" spans="1:10" x14ac:dyDescent="0.35">
      <c r="A409" t="s">
        <v>6</v>
      </c>
      <c r="B409">
        <v>5693</v>
      </c>
      <c r="C409">
        <v>2016</v>
      </c>
      <c r="D409">
        <v>2</v>
      </c>
      <c r="E409" s="1">
        <v>693.41666999999995</v>
      </c>
      <c r="F409" s="1" t="s">
        <v>0</v>
      </c>
      <c r="G409" s="1" t="s">
        <v>0</v>
      </c>
      <c r="H409" s="1" t="s">
        <v>0</v>
      </c>
      <c r="I409" s="1" t="s">
        <v>0</v>
      </c>
      <c r="J409" s="1">
        <v>148078.12622041701</v>
      </c>
    </row>
    <row r="410" spans="1:10" x14ac:dyDescent="0.35">
      <c r="A410" t="s">
        <v>6</v>
      </c>
      <c r="B410">
        <v>5693</v>
      </c>
      <c r="C410">
        <v>2016</v>
      </c>
      <c r="D410">
        <v>3</v>
      </c>
      <c r="E410" s="1">
        <v>743</v>
      </c>
      <c r="F410" s="1" t="s">
        <v>0</v>
      </c>
      <c r="G410" s="1" t="s">
        <v>0</v>
      </c>
      <c r="H410" s="1" t="s">
        <v>0</v>
      </c>
      <c r="I410" s="1" t="s">
        <v>0</v>
      </c>
      <c r="J410" s="1">
        <v>141201.78562062501</v>
      </c>
    </row>
    <row r="411" spans="1:10" x14ac:dyDescent="0.35">
      <c r="A411" t="s">
        <v>6</v>
      </c>
      <c r="B411">
        <v>5693</v>
      </c>
      <c r="C411">
        <v>2016</v>
      </c>
      <c r="D411">
        <v>4</v>
      </c>
      <c r="E411" s="1">
        <v>701.83333000000005</v>
      </c>
      <c r="F411" s="1" t="s">
        <v>0</v>
      </c>
      <c r="G411" s="1" t="s">
        <v>0</v>
      </c>
      <c r="H411" s="1" t="s">
        <v>0</v>
      </c>
      <c r="I411" s="1" t="s">
        <v>0</v>
      </c>
      <c r="J411" s="1">
        <v>220078.31513541701</v>
      </c>
    </row>
    <row r="412" spans="1:10" x14ac:dyDescent="0.35">
      <c r="A412" t="s">
        <v>6</v>
      </c>
      <c r="B412">
        <v>5693</v>
      </c>
      <c r="C412">
        <v>2016</v>
      </c>
      <c r="D412">
        <v>5</v>
      </c>
      <c r="E412" s="1">
        <v>744</v>
      </c>
      <c r="F412" s="1" t="s">
        <v>0</v>
      </c>
      <c r="G412" s="1" t="s">
        <v>0</v>
      </c>
      <c r="H412" s="1" t="s">
        <v>0</v>
      </c>
      <c r="I412" s="1" t="s">
        <v>0</v>
      </c>
      <c r="J412" s="1">
        <v>269279.17616104201</v>
      </c>
    </row>
    <row r="413" spans="1:10" x14ac:dyDescent="0.35">
      <c r="A413" t="s">
        <v>6</v>
      </c>
      <c r="B413">
        <v>5693</v>
      </c>
      <c r="C413">
        <v>2016</v>
      </c>
      <c r="D413">
        <v>6</v>
      </c>
      <c r="E413" s="1">
        <v>708.58333000000005</v>
      </c>
      <c r="F413" s="1" t="s">
        <v>0</v>
      </c>
      <c r="G413" s="1" t="s">
        <v>0</v>
      </c>
      <c r="H413" s="1" t="s">
        <v>0</v>
      </c>
      <c r="I413" s="1" t="s">
        <v>0</v>
      </c>
      <c r="J413" s="1">
        <v>257281.26086979199</v>
      </c>
    </row>
    <row r="414" spans="1:10" x14ac:dyDescent="0.35">
      <c r="A414" t="s">
        <v>6</v>
      </c>
      <c r="B414">
        <v>5693</v>
      </c>
      <c r="C414">
        <v>2016</v>
      </c>
      <c r="D414">
        <v>7</v>
      </c>
      <c r="E414" s="1">
        <v>608.64998000000003</v>
      </c>
      <c r="F414" s="1" t="s">
        <v>0</v>
      </c>
      <c r="G414" s="1" t="s">
        <v>0</v>
      </c>
      <c r="H414" s="1" t="s">
        <v>0</v>
      </c>
      <c r="I414" s="1" t="s">
        <v>0</v>
      </c>
      <c r="J414" s="1">
        <v>197975.70744</v>
      </c>
    </row>
    <row r="415" spans="1:10" x14ac:dyDescent="0.35">
      <c r="A415" t="s">
        <v>6</v>
      </c>
      <c r="B415">
        <v>5693</v>
      </c>
      <c r="C415">
        <v>2016</v>
      </c>
      <c r="D415">
        <v>8</v>
      </c>
      <c r="E415" s="1">
        <v>656.58333000000005</v>
      </c>
      <c r="F415" s="1" t="s">
        <v>0</v>
      </c>
      <c r="G415" s="1" t="s">
        <v>0</v>
      </c>
      <c r="H415" s="1" t="s">
        <v>0</v>
      </c>
      <c r="I415" s="1" t="s">
        <v>0</v>
      </c>
      <c r="J415" s="1">
        <v>132382.87739520799</v>
      </c>
    </row>
    <row r="416" spans="1:10" x14ac:dyDescent="0.35">
      <c r="A416" t="s">
        <v>6</v>
      </c>
      <c r="B416">
        <v>5693</v>
      </c>
      <c r="C416">
        <v>2016</v>
      </c>
      <c r="D416">
        <v>9</v>
      </c>
      <c r="E416" s="1">
        <v>340.10833000000002</v>
      </c>
      <c r="F416" s="1" t="s">
        <v>0</v>
      </c>
      <c r="G416" s="1" t="s">
        <v>0</v>
      </c>
      <c r="H416" s="1" t="s">
        <v>0</v>
      </c>
      <c r="I416" s="1" t="s">
        <v>0</v>
      </c>
      <c r="J416" s="1">
        <v>61200.875995416704</v>
      </c>
    </row>
    <row r="417" spans="1:10" x14ac:dyDescent="0.35">
      <c r="A417" t="s">
        <v>6</v>
      </c>
      <c r="B417">
        <v>5693</v>
      </c>
      <c r="C417">
        <v>2016</v>
      </c>
      <c r="D417">
        <v>10</v>
      </c>
      <c r="E417" s="1" t="s">
        <v>0</v>
      </c>
      <c r="F417" s="1" t="s">
        <v>0</v>
      </c>
      <c r="G417" s="1" t="s">
        <v>0</v>
      </c>
      <c r="H417" s="1" t="s">
        <v>0</v>
      </c>
      <c r="I417" s="1" t="s">
        <v>0</v>
      </c>
      <c r="J417" s="1" t="s">
        <v>0</v>
      </c>
    </row>
    <row r="418" spans="1:10" x14ac:dyDescent="0.35">
      <c r="A418" t="s">
        <v>6</v>
      </c>
      <c r="B418">
        <v>5693</v>
      </c>
      <c r="C418">
        <v>2016</v>
      </c>
      <c r="D418">
        <v>11</v>
      </c>
      <c r="E418" s="1" t="s">
        <v>0</v>
      </c>
      <c r="F418" s="1" t="s">
        <v>0</v>
      </c>
      <c r="G418" s="1" t="s">
        <v>0</v>
      </c>
      <c r="H418" s="1" t="s">
        <v>0</v>
      </c>
      <c r="I418" s="1" t="s">
        <v>0</v>
      </c>
      <c r="J418" s="1" t="s">
        <v>0</v>
      </c>
    </row>
    <row r="419" spans="1:10" x14ac:dyDescent="0.35">
      <c r="A419" t="s">
        <v>6</v>
      </c>
      <c r="B419">
        <v>5693</v>
      </c>
      <c r="C419">
        <v>2016</v>
      </c>
      <c r="D419">
        <v>12</v>
      </c>
      <c r="E419" s="1" t="s">
        <v>0</v>
      </c>
      <c r="F419" s="1" t="s">
        <v>0</v>
      </c>
      <c r="G419" s="1" t="s">
        <v>0</v>
      </c>
      <c r="H419" s="1" t="s">
        <v>0</v>
      </c>
      <c r="I419" s="1" t="s">
        <v>0</v>
      </c>
      <c r="J419" s="1" t="s">
        <v>0</v>
      </c>
    </row>
    <row r="420" spans="1:10" x14ac:dyDescent="0.35">
      <c r="A420" t="s">
        <v>7</v>
      </c>
      <c r="B420">
        <v>5769</v>
      </c>
      <c r="C420">
        <v>2007</v>
      </c>
      <c r="D420">
        <v>9</v>
      </c>
      <c r="E420" s="1" t="s">
        <v>0</v>
      </c>
      <c r="F420" s="1" t="s">
        <v>0</v>
      </c>
      <c r="G420" s="1" t="s">
        <v>0</v>
      </c>
      <c r="H420" s="1" t="s">
        <v>0</v>
      </c>
      <c r="I420" s="1" t="s">
        <v>0</v>
      </c>
      <c r="J420" s="1" t="s">
        <v>0</v>
      </c>
    </row>
    <row r="421" spans="1:10" x14ac:dyDescent="0.35">
      <c r="A421" t="s">
        <v>7</v>
      </c>
      <c r="B421">
        <v>5769</v>
      </c>
      <c r="C421">
        <v>2007</v>
      </c>
      <c r="D421">
        <v>10</v>
      </c>
      <c r="E421" s="1" t="s">
        <v>0</v>
      </c>
      <c r="F421" s="1" t="s">
        <v>0</v>
      </c>
      <c r="G421" s="1" t="s">
        <v>0</v>
      </c>
      <c r="H421" s="1" t="s">
        <v>0</v>
      </c>
      <c r="I421" s="1" t="s">
        <v>0</v>
      </c>
      <c r="J421" s="1" t="s">
        <v>0</v>
      </c>
    </row>
    <row r="422" spans="1:10" x14ac:dyDescent="0.35">
      <c r="A422" t="s">
        <v>7</v>
      </c>
      <c r="B422">
        <v>5769</v>
      </c>
      <c r="C422">
        <v>2007</v>
      </c>
      <c r="D422">
        <v>11</v>
      </c>
      <c r="E422" s="1" t="s">
        <v>0</v>
      </c>
      <c r="F422" s="1" t="s">
        <v>0</v>
      </c>
      <c r="G422" s="1" t="s">
        <v>0</v>
      </c>
      <c r="H422" s="1" t="s">
        <v>0</v>
      </c>
      <c r="I422" s="1" t="s">
        <v>0</v>
      </c>
      <c r="J422" s="1" t="s">
        <v>0</v>
      </c>
    </row>
    <row r="423" spans="1:10" x14ac:dyDescent="0.35">
      <c r="A423" t="s">
        <v>7</v>
      </c>
      <c r="B423">
        <v>5769</v>
      </c>
      <c r="C423">
        <v>2007</v>
      </c>
      <c r="D423">
        <v>12</v>
      </c>
      <c r="E423" s="1" t="s">
        <v>0</v>
      </c>
      <c r="F423" s="1" t="s">
        <v>0</v>
      </c>
      <c r="G423" s="1" t="s">
        <v>0</v>
      </c>
      <c r="H423" s="1" t="s">
        <v>0</v>
      </c>
      <c r="I423" s="1" t="s">
        <v>0</v>
      </c>
      <c r="J423" s="1" t="s">
        <v>0</v>
      </c>
    </row>
    <row r="424" spans="1:10" x14ac:dyDescent="0.35">
      <c r="A424" t="s">
        <v>7</v>
      </c>
      <c r="B424">
        <v>5769</v>
      </c>
      <c r="C424">
        <v>2008</v>
      </c>
      <c r="D424">
        <v>1</v>
      </c>
      <c r="E424" s="1">
        <v>0</v>
      </c>
      <c r="F424" s="1" t="s">
        <v>0</v>
      </c>
      <c r="G424" s="1" t="s">
        <v>0</v>
      </c>
      <c r="H424" s="1" t="s">
        <v>0</v>
      </c>
      <c r="I424" s="1" t="s">
        <v>0</v>
      </c>
      <c r="J424" s="1" t="s">
        <v>0</v>
      </c>
    </row>
    <row r="425" spans="1:10" x14ac:dyDescent="0.35">
      <c r="A425" t="s">
        <v>7</v>
      </c>
      <c r="B425">
        <v>5769</v>
      </c>
      <c r="C425">
        <v>2008</v>
      </c>
      <c r="D425">
        <v>2</v>
      </c>
      <c r="E425" s="1">
        <v>0</v>
      </c>
      <c r="F425" s="1" t="s">
        <v>0</v>
      </c>
      <c r="G425" s="1" t="s">
        <v>0</v>
      </c>
      <c r="H425" s="1" t="s">
        <v>0</v>
      </c>
      <c r="I425" s="1" t="s">
        <v>0</v>
      </c>
      <c r="J425" s="1" t="s">
        <v>0</v>
      </c>
    </row>
    <row r="426" spans="1:10" x14ac:dyDescent="0.35">
      <c r="A426" t="s">
        <v>7</v>
      </c>
      <c r="B426">
        <v>5769</v>
      </c>
      <c r="C426">
        <v>2008</v>
      </c>
      <c r="D426">
        <v>3</v>
      </c>
      <c r="E426" s="1">
        <v>0</v>
      </c>
      <c r="F426" s="1" t="s">
        <v>0</v>
      </c>
      <c r="G426" s="1" t="s">
        <v>0</v>
      </c>
      <c r="H426" s="1" t="s">
        <v>0</v>
      </c>
      <c r="I426" s="1" t="s">
        <v>0</v>
      </c>
      <c r="J426" s="1">
        <v>0</v>
      </c>
    </row>
    <row r="427" spans="1:10" x14ac:dyDescent="0.35">
      <c r="A427" t="s">
        <v>7</v>
      </c>
      <c r="B427">
        <v>5769</v>
      </c>
      <c r="C427">
        <v>2008</v>
      </c>
      <c r="D427">
        <v>4</v>
      </c>
      <c r="E427" s="1">
        <v>0</v>
      </c>
      <c r="F427" s="1" t="s">
        <v>0</v>
      </c>
      <c r="G427" s="1" t="s">
        <v>0</v>
      </c>
      <c r="H427" s="1" t="s">
        <v>0</v>
      </c>
      <c r="I427" s="1" t="s">
        <v>0</v>
      </c>
      <c r="J427" s="1" t="s">
        <v>0</v>
      </c>
    </row>
    <row r="428" spans="1:10" x14ac:dyDescent="0.35">
      <c r="A428" t="s">
        <v>7</v>
      </c>
      <c r="B428">
        <v>5769</v>
      </c>
      <c r="C428">
        <v>2008</v>
      </c>
      <c r="D428">
        <v>5</v>
      </c>
      <c r="E428" s="1">
        <v>0</v>
      </c>
      <c r="F428" s="1" t="s">
        <v>0</v>
      </c>
      <c r="G428" s="1" t="s">
        <v>0</v>
      </c>
      <c r="H428" s="1" t="s">
        <v>0</v>
      </c>
      <c r="I428" s="1" t="s">
        <v>0</v>
      </c>
      <c r="J428" s="1" t="s">
        <v>0</v>
      </c>
    </row>
    <row r="429" spans="1:10" x14ac:dyDescent="0.35">
      <c r="A429" t="s">
        <v>7</v>
      </c>
      <c r="B429">
        <v>5769</v>
      </c>
      <c r="C429">
        <v>2008</v>
      </c>
      <c r="D429">
        <v>6</v>
      </c>
      <c r="E429" s="1">
        <v>0</v>
      </c>
      <c r="F429" s="1" t="s">
        <v>0</v>
      </c>
      <c r="G429" s="1" t="s">
        <v>0</v>
      </c>
      <c r="H429" s="1" t="s">
        <v>0</v>
      </c>
      <c r="I429" s="1" t="s">
        <v>0</v>
      </c>
      <c r="J429" s="1" t="s">
        <v>0</v>
      </c>
    </row>
    <row r="430" spans="1:10" x14ac:dyDescent="0.35">
      <c r="A430" t="s">
        <v>7</v>
      </c>
      <c r="B430">
        <v>5769</v>
      </c>
      <c r="C430">
        <v>2008</v>
      </c>
      <c r="D430">
        <v>7</v>
      </c>
      <c r="E430" s="1">
        <v>0</v>
      </c>
      <c r="F430" s="1" t="s">
        <v>0</v>
      </c>
      <c r="G430" s="1" t="s">
        <v>0</v>
      </c>
      <c r="H430" s="1" t="s">
        <v>0</v>
      </c>
      <c r="I430" s="1" t="s">
        <v>0</v>
      </c>
      <c r="J430" s="1" t="s">
        <v>0</v>
      </c>
    </row>
    <row r="431" spans="1:10" x14ac:dyDescent="0.35">
      <c r="A431" t="s">
        <v>7</v>
      </c>
      <c r="B431">
        <v>5769</v>
      </c>
      <c r="C431">
        <v>2008</v>
      </c>
      <c r="D431">
        <v>8</v>
      </c>
      <c r="E431" s="1">
        <v>98.081670000000003</v>
      </c>
      <c r="F431" s="1" t="s">
        <v>0</v>
      </c>
      <c r="G431" s="1" t="s">
        <v>0</v>
      </c>
      <c r="H431" s="1" t="s">
        <v>0</v>
      </c>
      <c r="I431" s="1" t="s">
        <v>0</v>
      </c>
      <c r="J431" s="1">
        <v>14480.9320771154</v>
      </c>
    </row>
    <row r="432" spans="1:10" x14ac:dyDescent="0.35">
      <c r="A432" t="s">
        <v>7</v>
      </c>
      <c r="B432">
        <v>5769</v>
      </c>
      <c r="C432">
        <v>2008</v>
      </c>
      <c r="D432">
        <v>9</v>
      </c>
      <c r="E432" s="1">
        <v>557.88057000000003</v>
      </c>
      <c r="F432" s="1" t="s">
        <v>0</v>
      </c>
      <c r="G432" s="1" t="s">
        <v>0</v>
      </c>
      <c r="H432" s="1" t="s">
        <v>0</v>
      </c>
      <c r="I432" s="1" t="s">
        <v>0</v>
      </c>
      <c r="J432" s="1">
        <v>64814.286524475297</v>
      </c>
    </row>
    <row r="433" spans="1:10" x14ac:dyDescent="0.35">
      <c r="A433" t="s">
        <v>7</v>
      </c>
      <c r="B433">
        <v>5769</v>
      </c>
      <c r="C433">
        <v>2008</v>
      </c>
      <c r="D433">
        <v>10</v>
      </c>
      <c r="E433" s="1">
        <v>563.99999000000003</v>
      </c>
      <c r="F433" s="1" t="s">
        <v>0</v>
      </c>
      <c r="G433" s="1" t="s">
        <v>0</v>
      </c>
      <c r="H433" s="1" t="s">
        <v>0</v>
      </c>
      <c r="I433" s="1" t="s">
        <v>0</v>
      </c>
      <c r="J433" s="1">
        <v>122254.371735423</v>
      </c>
    </row>
    <row r="434" spans="1:10" x14ac:dyDescent="0.35">
      <c r="A434" t="s">
        <v>7</v>
      </c>
      <c r="B434">
        <v>5769</v>
      </c>
      <c r="C434">
        <v>2008</v>
      </c>
      <c r="D434">
        <v>11</v>
      </c>
      <c r="E434" s="1">
        <v>716.16666999999995</v>
      </c>
      <c r="F434" s="1" t="s">
        <v>0</v>
      </c>
      <c r="G434" s="1" t="s">
        <v>0</v>
      </c>
      <c r="H434" s="1" t="s">
        <v>0</v>
      </c>
      <c r="I434" s="1" t="s">
        <v>0</v>
      </c>
      <c r="J434" s="1">
        <v>219779.98439821601</v>
      </c>
    </row>
    <row r="435" spans="1:10" x14ac:dyDescent="0.35">
      <c r="A435" t="s">
        <v>7</v>
      </c>
      <c r="B435">
        <v>5769</v>
      </c>
      <c r="C435">
        <v>2008</v>
      </c>
      <c r="D435">
        <v>12</v>
      </c>
      <c r="E435" s="1">
        <v>742.25</v>
      </c>
      <c r="F435" s="1" t="s">
        <v>0</v>
      </c>
      <c r="G435" s="1" t="s">
        <v>0</v>
      </c>
      <c r="H435" s="1" t="s">
        <v>0</v>
      </c>
      <c r="I435" s="1" t="s">
        <v>0</v>
      </c>
      <c r="J435" s="1">
        <v>270199.39982958301</v>
      </c>
    </row>
    <row r="436" spans="1:10" x14ac:dyDescent="0.35">
      <c r="A436" t="s">
        <v>7</v>
      </c>
      <c r="B436">
        <v>5769</v>
      </c>
      <c r="C436">
        <v>2009</v>
      </c>
      <c r="D436">
        <v>1</v>
      </c>
      <c r="E436" s="1">
        <v>697.49998000000005</v>
      </c>
      <c r="F436" s="1" t="s">
        <v>0</v>
      </c>
      <c r="G436" s="1" t="s">
        <v>0</v>
      </c>
      <c r="H436" s="1" t="s">
        <v>0</v>
      </c>
      <c r="I436" s="1" t="s">
        <v>0</v>
      </c>
      <c r="J436" s="1">
        <v>253655.42580070801</v>
      </c>
    </row>
    <row r="437" spans="1:10" x14ac:dyDescent="0.35">
      <c r="A437" t="s">
        <v>7</v>
      </c>
      <c r="B437">
        <v>5769</v>
      </c>
      <c r="C437">
        <v>2009</v>
      </c>
      <c r="D437">
        <v>2</v>
      </c>
      <c r="E437" s="1">
        <v>635.74999000000003</v>
      </c>
      <c r="F437" s="1" t="s">
        <v>0</v>
      </c>
      <c r="G437" s="1" t="s">
        <v>0</v>
      </c>
      <c r="H437" s="1" t="s">
        <v>0</v>
      </c>
      <c r="I437" s="1" t="s">
        <v>0</v>
      </c>
      <c r="J437" s="1">
        <v>226102.01316</v>
      </c>
    </row>
    <row r="438" spans="1:10" x14ac:dyDescent="0.35">
      <c r="A438" t="s">
        <v>7</v>
      </c>
      <c r="B438">
        <v>5769</v>
      </c>
      <c r="C438">
        <v>2009</v>
      </c>
      <c r="D438">
        <v>3</v>
      </c>
      <c r="E438" s="1">
        <v>224.58333999999999</v>
      </c>
      <c r="F438" s="1" t="s">
        <v>0</v>
      </c>
      <c r="G438" s="1" t="s">
        <v>0</v>
      </c>
      <c r="H438" s="1" t="s">
        <v>0</v>
      </c>
      <c r="I438" s="1" t="s">
        <v>0</v>
      </c>
      <c r="J438" s="1">
        <v>81674.350000000006</v>
      </c>
    </row>
    <row r="439" spans="1:10" x14ac:dyDescent="0.35">
      <c r="A439" t="s">
        <v>7</v>
      </c>
      <c r="B439">
        <v>5769</v>
      </c>
      <c r="C439">
        <v>2009</v>
      </c>
      <c r="D439">
        <v>4</v>
      </c>
      <c r="E439" s="1">
        <v>531.54999999999995</v>
      </c>
      <c r="F439" s="1" t="s">
        <v>0</v>
      </c>
      <c r="G439" s="1" t="s">
        <v>0</v>
      </c>
      <c r="H439" s="1" t="s">
        <v>0</v>
      </c>
      <c r="I439" s="1" t="s">
        <v>0</v>
      </c>
      <c r="J439" s="1">
        <v>104818.54777999999</v>
      </c>
    </row>
    <row r="440" spans="1:10" x14ac:dyDescent="0.35">
      <c r="A440" t="s">
        <v>7</v>
      </c>
      <c r="B440">
        <v>5769</v>
      </c>
      <c r="C440">
        <v>2009</v>
      </c>
      <c r="D440">
        <v>5</v>
      </c>
      <c r="E440" s="1">
        <v>706.99999000000003</v>
      </c>
      <c r="F440" s="1" t="s">
        <v>0</v>
      </c>
      <c r="G440" s="1" t="s">
        <v>0</v>
      </c>
      <c r="H440" s="1" t="s">
        <v>0</v>
      </c>
      <c r="I440" s="1" t="s">
        <v>0</v>
      </c>
      <c r="J440" s="1">
        <v>232334.514448239</v>
      </c>
    </row>
    <row r="441" spans="1:10" x14ac:dyDescent="0.35">
      <c r="A441" t="s">
        <v>7</v>
      </c>
      <c r="B441">
        <v>5769</v>
      </c>
      <c r="C441">
        <v>2009</v>
      </c>
      <c r="D441">
        <v>6</v>
      </c>
      <c r="E441" s="1">
        <v>690.73332000000005</v>
      </c>
      <c r="F441" s="1" t="s">
        <v>0</v>
      </c>
      <c r="G441" s="1" t="s">
        <v>0</v>
      </c>
      <c r="H441" s="1" t="s">
        <v>0</v>
      </c>
      <c r="I441" s="1" t="s">
        <v>0</v>
      </c>
      <c r="J441" s="1">
        <v>133204.20527124999</v>
      </c>
    </row>
    <row r="442" spans="1:10" x14ac:dyDescent="0.35">
      <c r="A442" t="s">
        <v>7</v>
      </c>
      <c r="B442">
        <v>5769</v>
      </c>
      <c r="C442">
        <v>2009</v>
      </c>
      <c r="D442">
        <v>7</v>
      </c>
      <c r="E442" s="1">
        <v>734.83333000000005</v>
      </c>
      <c r="F442" s="1" t="s">
        <v>0</v>
      </c>
      <c r="G442" s="1" t="s">
        <v>0</v>
      </c>
      <c r="H442" s="1" t="s">
        <v>0</v>
      </c>
      <c r="I442" s="1" t="s">
        <v>0</v>
      </c>
      <c r="J442" s="1">
        <v>205447.01868812501</v>
      </c>
    </row>
    <row r="443" spans="1:10" x14ac:dyDescent="0.35">
      <c r="A443" t="s">
        <v>7</v>
      </c>
      <c r="B443">
        <v>5769</v>
      </c>
      <c r="C443">
        <v>2009</v>
      </c>
      <c r="D443">
        <v>8</v>
      </c>
      <c r="E443" s="1">
        <v>703.82498999999996</v>
      </c>
      <c r="F443" s="1" t="s">
        <v>0</v>
      </c>
      <c r="G443" s="1" t="s">
        <v>0</v>
      </c>
      <c r="H443" s="1" t="s">
        <v>0</v>
      </c>
      <c r="I443" s="1" t="s">
        <v>0</v>
      </c>
      <c r="J443" s="1">
        <v>198473.65997874999</v>
      </c>
    </row>
    <row r="444" spans="1:10" x14ac:dyDescent="0.35">
      <c r="A444" t="s">
        <v>7</v>
      </c>
      <c r="B444">
        <v>5769</v>
      </c>
      <c r="C444">
        <v>2009</v>
      </c>
      <c r="D444">
        <v>9</v>
      </c>
      <c r="E444" s="1">
        <v>509.16667000000001</v>
      </c>
      <c r="F444" s="1" t="s">
        <v>0</v>
      </c>
      <c r="G444" s="1" t="s">
        <v>0</v>
      </c>
      <c r="H444" s="1" t="s">
        <v>0</v>
      </c>
      <c r="I444" s="1" t="s">
        <v>0</v>
      </c>
      <c r="J444" s="1">
        <v>171773.20486270799</v>
      </c>
    </row>
    <row r="445" spans="1:10" x14ac:dyDescent="0.35">
      <c r="A445" t="s">
        <v>7</v>
      </c>
      <c r="B445">
        <v>5769</v>
      </c>
      <c r="C445">
        <v>2009</v>
      </c>
      <c r="D445">
        <v>10</v>
      </c>
      <c r="E445" s="1">
        <v>682.25167999999996</v>
      </c>
      <c r="F445" s="1" t="s">
        <v>0</v>
      </c>
      <c r="G445" s="1" t="s">
        <v>0</v>
      </c>
      <c r="H445" s="1" t="s">
        <v>0</v>
      </c>
      <c r="I445" s="1" t="s">
        <v>0</v>
      </c>
      <c r="J445" s="1">
        <v>200847.230494093</v>
      </c>
    </row>
    <row r="446" spans="1:10" x14ac:dyDescent="0.35">
      <c r="A446" t="s">
        <v>7</v>
      </c>
      <c r="B446">
        <v>5769</v>
      </c>
      <c r="C446">
        <v>2009</v>
      </c>
      <c r="D446">
        <v>11</v>
      </c>
      <c r="E446" s="1">
        <v>705.58333000000005</v>
      </c>
      <c r="F446" s="1" t="s">
        <v>0</v>
      </c>
      <c r="G446" s="1" t="s">
        <v>0</v>
      </c>
      <c r="H446" s="1" t="s">
        <v>0</v>
      </c>
      <c r="I446" s="1" t="s">
        <v>0</v>
      </c>
      <c r="J446" s="1">
        <v>208933.86788113101</v>
      </c>
    </row>
    <row r="447" spans="1:10" x14ac:dyDescent="0.35">
      <c r="A447" t="s">
        <v>7</v>
      </c>
      <c r="B447">
        <v>5769</v>
      </c>
      <c r="C447">
        <v>2009</v>
      </c>
      <c r="D447">
        <v>12</v>
      </c>
      <c r="E447" s="1">
        <v>738.16665999999998</v>
      </c>
      <c r="F447" s="1" t="s">
        <v>0</v>
      </c>
      <c r="G447" s="1" t="s">
        <v>0</v>
      </c>
      <c r="H447" s="1" t="s">
        <v>0</v>
      </c>
      <c r="I447" s="1" t="s">
        <v>0</v>
      </c>
      <c r="J447" s="1">
        <v>225455.33740633001</v>
      </c>
    </row>
    <row r="448" spans="1:10" x14ac:dyDescent="0.35">
      <c r="A448" t="s">
        <v>7</v>
      </c>
      <c r="B448">
        <v>5769</v>
      </c>
      <c r="C448">
        <v>2010</v>
      </c>
      <c r="D448">
        <v>1</v>
      </c>
      <c r="E448" s="1">
        <v>735.66666999999995</v>
      </c>
      <c r="F448" s="1" t="s">
        <v>0</v>
      </c>
      <c r="G448" s="1" t="s">
        <v>0</v>
      </c>
      <c r="H448" s="1" t="s">
        <v>0</v>
      </c>
      <c r="I448" s="1" t="s">
        <v>0</v>
      </c>
      <c r="J448" s="1">
        <v>251554.767873089</v>
      </c>
    </row>
    <row r="449" spans="1:10" x14ac:dyDescent="0.35">
      <c r="A449" t="s">
        <v>7</v>
      </c>
      <c r="B449">
        <v>5769</v>
      </c>
      <c r="C449">
        <v>2010</v>
      </c>
      <c r="D449">
        <v>2</v>
      </c>
      <c r="E449" s="1">
        <v>595.41668000000004</v>
      </c>
      <c r="F449" s="1" t="s">
        <v>0</v>
      </c>
      <c r="G449" s="1" t="s">
        <v>0</v>
      </c>
      <c r="H449" s="1" t="s">
        <v>0</v>
      </c>
      <c r="I449" s="1" t="s">
        <v>0</v>
      </c>
      <c r="J449" s="1">
        <v>199239.179513098</v>
      </c>
    </row>
    <row r="450" spans="1:10" x14ac:dyDescent="0.35">
      <c r="A450" t="s">
        <v>7</v>
      </c>
      <c r="B450">
        <v>5769</v>
      </c>
      <c r="C450">
        <v>2010</v>
      </c>
      <c r="D450">
        <v>3</v>
      </c>
      <c r="E450" s="1">
        <v>571.00833999999998</v>
      </c>
      <c r="F450" s="1" t="s">
        <v>0</v>
      </c>
      <c r="G450" s="1" t="s">
        <v>0</v>
      </c>
      <c r="H450" s="1" t="s">
        <v>0</v>
      </c>
      <c r="I450" s="1" t="s">
        <v>0</v>
      </c>
      <c r="J450" s="1">
        <v>159955.29204669499</v>
      </c>
    </row>
    <row r="451" spans="1:10" x14ac:dyDescent="0.35">
      <c r="A451" t="s">
        <v>7</v>
      </c>
      <c r="B451">
        <v>5769</v>
      </c>
      <c r="C451">
        <v>2010</v>
      </c>
      <c r="D451">
        <v>4</v>
      </c>
      <c r="E451" s="1">
        <v>449.39168000000001</v>
      </c>
      <c r="F451" s="1" t="s">
        <v>0</v>
      </c>
      <c r="G451" s="1" t="s">
        <v>0</v>
      </c>
      <c r="H451" s="1" t="s">
        <v>0</v>
      </c>
      <c r="I451" s="1" t="s">
        <v>0</v>
      </c>
      <c r="J451" s="1">
        <v>143182.22737582901</v>
      </c>
    </row>
    <row r="452" spans="1:10" x14ac:dyDescent="0.35">
      <c r="A452" t="s">
        <v>7</v>
      </c>
      <c r="B452">
        <v>5769</v>
      </c>
      <c r="C452">
        <v>2010</v>
      </c>
      <c r="D452">
        <v>5</v>
      </c>
      <c r="E452" s="1">
        <v>744</v>
      </c>
      <c r="F452" s="1" t="s">
        <v>0</v>
      </c>
      <c r="G452" s="1" t="s">
        <v>0</v>
      </c>
      <c r="H452" s="1" t="s">
        <v>0</v>
      </c>
      <c r="I452" s="1" t="s">
        <v>0</v>
      </c>
      <c r="J452" s="1">
        <v>252211.73762833301</v>
      </c>
    </row>
    <row r="453" spans="1:10" x14ac:dyDescent="0.35">
      <c r="A453" t="s">
        <v>7</v>
      </c>
      <c r="B453">
        <v>5769</v>
      </c>
      <c r="C453">
        <v>2010</v>
      </c>
      <c r="D453">
        <v>6</v>
      </c>
      <c r="E453" s="1">
        <v>716.66666999999995</v>
      </c>
      <c r="F453" s="1" t="s">
        <v>0</v>
      </c>
      <c r="G453" s="1" t="s">
        <v>0</v>
      </c>
      <c r="H453" s="1" t="s">
        <v>0</v>
      </c>
      <c r="I453" s="1" t="s">
        <v>0</v>
      </c>
      <c r="J453" s="1">
        <v>217995.58273250001</v>
      </c>
    </row>
    <row r="454" spans="1:10" x14ac:dyDescent="0.35">
      <c r="A454" t="s">
        <v>7</v>
      </c>
      <c r="B454">
        <v>5769</v>
      </c>
      <c r="C454">
        <v>2010</v>
      </c>
      <c r="D454">
        <v>7</v>
      </c>
      <c r="E454" s="1">
        <v>743.16666999999995</v>
      </c>
      <c r="F454" s="1" t="s">
        <v>0</v>
      </c>
      <c r="G454" s="1" t="s">
        <v>0</v>
      </c>
      <c r="H454" s="1" t="s">
        <v>0</v>
      </c>
      <c r="I454" s="1" t="s">
        <v>0</v>
      </c>
      <c r="J454" s="1">
        <v>213816.939547708</v>
      </c>
    </row>
    <row r="455" spans="1:10" x14ac:dyDescent="0.35">
      <c r="A455" t="s">
        <v>7</v>
      </c>
      <c r="B455">
        <v>5769</v>
      </c>
      <c r="C455">
        <v>2010</v>
      </c>
      <c r="D455">
        <v>8</v>
      </c>
      <c r="E455" s="1">
        <v>447.14166</v>
      </c>
      <c r="F455" s="1" t="s">
        <v>0</v>
      </c>
      <c r="G455" s="1" t="s">
        <v>0</v>
      </c>
      <c r="H455" s="1" t="s">
        <v>0</v>
      </c>
      <c r="I455" s="1" t="s">
        <v>0</v>
      </c>
      <c r="J455" s="1">
        <v>120306.477755738</v>
      </c>
    </row>
    <row r="456" spans="1:10" x14ac:dyDescent="0.35">
      <c r="A456" t="s">
        <v>7</v>
      </c>
      <c r="B456">
        <v>5769</v>
      </c>
      <c r="C456">
        <v>2010</v>
      </c>
      <c r="D456">
        <v>9</v>
      </c>
      <c r="E456" s="1">
        <v>695.41666999999995</v>
      </c>
      <c r="F456" s="1" t="s">
        <v>0</v>
      </c>
      <c r="G456" s="1" t="s">
        <v>0</v>
      </c>
      <c r="H456" s="1" t="s">
        <v>0</v>
      </c>
      <c r="I456" s="1" t="s">
        <v>0</v>
      </c>
      <c r="J456" s="1">
        <v>163185.26024331499</v>
      </c>
    </row>
    <row r="457" spans="1:10" x14ac:dyDescent="0.35">
      <c r="A457" t="s">
        <v>7</v>
      </c>
      <c r="B457">
        <v>5769</v>
      </c>
      <c r="C457">
        <v>2010</v>
      </c>
      <c r="D457">
        <v>10</v>
      </c>
      <c r="E457" s="1">
        <v>717.58331999999996</v>
      </c>
      <c r="F457" s="1" t="s">
        <v>0</v>
      </c>
      <c r="G457" s="1" t="s">
        <v>0</v>
      </c>
      <c r="H457" s="1" t="s">
        <v>0</v>
      </c>
      <c r="I457" s="1" t="s">
        <v>0</v>
      </c>
      <c r="J457" s="1">
        <v>200667.24969863001</v>
      </c>
    </row>
    <row r="458" spans="1:10" x14ac:dyDescent="0.35">
      <c r="A458" t="s">
        <v>7</v>
      </c>
      <c r="B458">
        <v>5769</v>
      </c>
      <c r="C458">
        <v>2010</v>
      </c>
      <c r="D458">
        <v>11</v>
      </c>
      <c r="E458" s="1">
        <v>703.91666999999995</v>
      </c>
      <c r="F458" s="1" t="s">
        <v>0</v>
      </c>
      <c r="G458" s="1" t="s">
        <v>0</v>
      </c>
      <c r="H458" s="1" t="s">
        <v>0</v>
      </c>
      <c r="I458" s="1" t="s">
        <v>0</v>
      </c>
      <c r="J458" s="1">
        <v>188435.816567962</v>
      </c>
    </row>
    <row r="459" spans="1:10" x14ac:dyDescent="0.35">
      <c r="A459" t="s">
        <v>7</v>
      </c>
      <c r="B459">
        <v>5769</v>
      </c>
      <c r="C459">
        <v>2010</v>
      </c>
      <c r="D459">
        <v>12</v>
      </c>
      <c r="E459" s="1">
        <v>732.66666999999995</v>
      </c>
      <c r="F459" s="1" t="s">
        <v>0</v>
      </c>
      <c r="G459" s="1" t="s">
        <v>0</v>
      </c>
      <c r="H459" s="1" t="s">
        <v>0</v>
      </c>
      <c r="I459" s="1" t="s">
        <v>0</v>
      </c>
      <c r="J459" s="1">
        <v>193372.73180145799</v>
      </c>
    </row>
    <row r="460" spans="1:10" x14ac:dyDescent="0.35">
      <c r="A460" t="s">
        <v>7</v>
      </c>
      <c r="B460">
        <v>5769</v>
      </c>
      <c r="C460">
        <v>2011</v>
      </c>
      <c r="D460">
        <v>1</v>
      </c>
      <c r="E460" s="1">
        <v>744</v>
      </c>
      <c r="F460" s="1" t="s">
        <v>0</v>
      </c>
      <c r="G460" s="1" t="s">
        <v>0</v>
      </c>
      <c r="H460" s="1" t="s">
        <v>0</v>
      </c>
      <c r="I460" s="1" t="s">
        <v>0</v>
      </c>
      <c r="J460" s="1">
        <v>189041.11951854199</v>
      </c>
    </row>
    <row r="461" spans="1:10" x14ac:dyDescent="0.35">
      <c r="A461" t="s">
        <v>7</v>
      </c>
      <c r="B461">
        <v>5769</v>
      </c>
      <c r="C461">
        <v>2011</v>
      </c>
      <c r="D461">
        <v>2</v>
      </c>
      <c r="E461" s="1">
        <v>532.74998000000005</v>
      </c>
      <c r="F461" s="1" t="s">
        <v>0</v>
      </c>
      <c r="G461" s="1" t="s">
        <v>0</v>
      </c>
      <c r="H461" s="1" t="s">
        <v>0</v>
      </c>
      <c r="I461" s="1" t="s">
        <v>0</v>
      </c>
      <c r="J461" s="1">
        <v>139466.55643039299</v>
      </c>
    </row>
    <row r="462" spans="1:10" x14ac:dyDescent="0.35">
      <c r="A462" t="s">
        <v>7</v>
      </c>
      <c r="B462">
        <v>5769</v>
      </c>
      <c r="C462">
        <v>2011</v>
      </c>
      <c r="D462">
        <v>3</v>
      </c>
      <c r="E462" s="1">
        <v>728.00000999999997</v>
      </c>
      <c r="F462" s="1" t="s">
        <v>0</v>
      </c>
      <c r="G462" s="1" t="s">
        <v>0</v>
      </c>
      <c r="H462" s="1" t="s">
        <v>0</v>
      </c>
      <c r="I462" s="1" t="s">
        <v>0</v>
      </c>
      <c r="J462" s="1">
        <v>184592.18769070899</v>
      </c>
    </row>
    <row r="463" spans="1:10" x14ac:dyDescent="0.35">
      <c r="A463" t="s">
        <v>7</v>
      </c>
      <c r="B463">
        <v>5769</v>
      </c>
      <c r="C463">
        <v>2011</v>
      </c>
      <c r="D463">
        <v>4</v>
      </c>
      <c r="E463" s="1">
        <v>700.83334000000002</v>
      </c>
      <c r="F463" s="1" t="s">
        <v>0</v>
      </c>
      <c r="G463" s="1" t="s">
        <v>0</v>
      </c>
      <c r="H463" s="1" t="s">
        <v>0</v>
      </c>
      <c r="I463" s="1" t="s">
        <v>0</v>
      </c>
      <c r="J463" s="1">
        <v>188899.232610284</v>
      </c>
    </row>
    <row r="464" spans="1:10" x14ac:dyDescent="0.35">
      <c r="A464" t="s">
        <v>7</v>
      </c>
      <c r="B464">
        <v>5769</v>
      </c>
      <c r="C464">
        <v>2011</v>
      </c>
      <c r="D464">
        <v>5</v>
      </c>
      <c r="E464" s="1">
        <v>736.50000999999997</v>
      </c>
      <c r="F464" s="1" t="s">
        <v>0</v>
      </c>
      <c r="G464" s="1" t="s">
        <v>0</v>
      </c>
      <c r="H464" s="1" t="s">
        <v>0</v>
      </c>
      <c r="I464" s="1" t="s">
        <v>0</v>
      </c>
      <c r="J464" s="1">
        <v>191438.08354220199</v>
      </c>
    </row>
    <row r="465" spans="1:10" x14ac:dyDescent="0.35">
      <c r="A465" t="s">
        <v>7</v>
      </c>
      <c r="B465">
        <v>5769</v>
      </c>
      <c r="C465">
        <v>2011</v>
      </c>
      <c r="D465">
        <v>6</v>
      </c>
      <c r="E465" s="1">
        <v>461.67500999999999</v>
      </c>
      <c r="F465" s="1" t="s">
        <v>0</v>
      </c>
      <c r="G465" s="1" t="s">
        <v>0</v>
      </c>
      <c r="H465" s="1" t="s">
        <v>0</v>
      </c>
      <c r="I465" s="1" t="s">
        <v>0</v>
      </c>
      <c r="J465" s="1">
        <v>115810.712320017</v>
      </c>
    </row>
    <row r="466" spans="1:10" x14ac:dyDescent="0.35">
      <c r="A466" t="s">
        <v>7</v>
      </c>
      <c r="B466">
        <v>5769</v>
      </c>
      <c r="C466">
        <v>2011</v>
      </c>
      <c r="D466">
        <v>7</v>
      </c>
      <c r="E466" s="1">
        <v>242.50835000000001</v>
      </c>
      <c r="F466" s="1" t="s">
        <v>0</v>
      </c>
      <c r="G466" s="1" t="s">
        <v>0</v>
      </c>
      <c r="H466" s="1" t="s">
        <v>0</v>
      </c>
      <c r="I466" s="1" t="s">
        <v>0</v>
      </c>
      <c r="J466" s="1">
        <v>60234.670728750003</v>
      </c>
    </row>
    <row r="467" spans="1:10" x14ac:dyDescent="0.35">
      <c r="A467" t="s">
        <v>7</v>
      </c>
      <c r="B467">
        <v>5769</v>
      </c>
      <c r="C467">
        <v>2011</v>
      </c>
      <c r="D467">
        <v>8</v>
      </c>
      <c r="E467" s="1">
        <v>644.49167999999997</v>
      </c>
      <c r="F467" s="1" t="s">
        <v>0</v>
      </c>
      <c r="G467" s="1" t="s">
        <v>0</v>
      </c>
      <c r="H467" s="1" t="s">
        <v>0</v>
      </c>
      <c r="I467" s="1" t="s">
        <v>0</v>
      </c>
      <c r="J467" s="1">
        <v>161568.57176961299</v>
      </c>
    </row>
    <row r="468" spans="1:10" x14ac:dyDescent="0.35">
      <c r="A468" t="s">
        <v>7</v>
      </c>
      <c r="B468">
        <v>5769</v>
      </c>
      <c r="C468">
        <v>2011</v>
      </c>
      <c r="D468">
        <v>9</v>
      </c>
      <c r="E468" s="1">
        <v>688.5</v>
      </c>
      <c r="F468" s="1" t="s">
        <v>0</v>
      </c>
      <c r="G468" s="1" t="s">
        <v>0</v>
      </c>
      <c r="H468" s="1" t="s">
        <v>0</v>
      </c>
      <c r="I468" s="1" t="s">
        <v>0</v>
      </c>
      <c r="J468" s="1">
        <v>185636.23752596899</v>
      </c>
    </row>
    <row r="469" spans="1:10" x14ac:dyDescent="0.35">
      <c r="A469" t="s">
        <v>7</v>
      </c>
      <c r="B469">
        <v>5769</v>
      </c>
      <c r="C469">
        <v>2011</v>
      </c>
      <c r="D469">
        <v>10</v>
      </c>
      <c r="E469" s="1">
        <v>328.63333</v>
      </c>
      <c r="F469" s="1" t="s">
        <v>0</v>
      </c>
      <c r="G469" s="1" t="s">
        <v>0</v>
      </c>
      <c r="H469" s="1" t="s">
        <v>0</v>
      </c>
      <c r="I469" s="1" t="s">
        <v>0</v>
      </c>
      <c r="J469" s="1">
        <v>86121.098252083306</v>
      </c>
    </row>
    <row r="470" spans="1:10" x14ac:dyDescent="0.35">
      <c r="A470" t="s">
        <v>7</v>
      </c>
      <c r="B470">
        <v>5769</v>
      </c>
      <c r="C470">
        <v>2011</v>
      </c>
      <c r="D470">
        <v>11</v>
      </c>
      <c r="E470" s="1">
        <v>475.41665999999998</v>
      </c>
      <c r="F470" s="1" t="s">
        <v>0</v>
      </c>
      <c r="G470" s="1" t="s">
        <v>0</v>
      </c>
      <c r="H470" s="1" t="s">
        <v>0</v>
      </c>
      <c r="I470" s="1" t="s">
        <v>0</v>
      </c>
      <c r="J470" s="1">
        <v>111726.558581042</v>
      </c>
    </row>
    <row r="471" spans="1:10" x14ac:dyDescent="0.35">
      <c r="A471" t="s">
        <v>7</v>
      </c>
      <c r="B471">
        <v>5769</v>
      </c>
      <c r="C471">
        <v>2011</v>
      </c>
      <c r="D471">
        <v>12</v>
      </c>
      <c r="E471" s="1">
        <v>438.8</v>
      </c>
      <c r="F471" s="1" t="s">
        <v>0</v>
      </c>
      <c r="G471" s="1" t="s">
        <v>0</v>
      </c>
      <c r="H471" s="1" t="s">
        <v>0</v>
      </c>
      <c r="I471" s="1" t="s">
        <v>0</v>
      </c>
      <c r="J471" s="1">
        <v>106760.272394792</v>
      </c>
    </row>
    <row r="472" spans="1:10" x14ac:dyDescent="0.35">
      <c r="A472" t="s">
        <v>7</v>
      </c>
      <c r="B472">
        <v>5769</v>
      </c>
      <c r="C472">
        <v>2012</v>
      </c>
      <c r="D472">
        <v>1</v>
      </c>
      <c r="E472" s="1">
        <v>423.99999000000003</v>
      </c>
      <c r="F472" s="1" t="s">
        <v>0</v>
      </c>
      <c r="G472" s="1" t="s">
        <v>0</v>
      </c>
      <c r="H472" s="1" t="s">
        <v>0</v>
      </c>
      <c r="I472" s="1" t="s">
        <v>0</v>
      </c>
      <c r="J472" s="1">
        <v>96145.249733958306</v>
      </c>
    </row>
    <row r="473" spans="1:10" x14ac:dyDescent="0.35">
      <c r="A473" t="s">
        <v>7</v>
      </c>
      <c r="B473">
        <v>5769</v>
      </c>
      <c r="C473">
        <v>2012</v>
      </c>
      <c r="D473">
        <v>2</v>
      </c>
      <c r="E473" s="1">
        <v>690.91665999999998</v>
      </c>
      <c r="F473" s="1" t="s">
        <v>0</v>
      </c>
      <c r="G473" s="1" t="s">
        <v>0</v>
      </c>
      <c r="H473" s="1" t="s">
        <v>0</v>
      </c>
      <c r="I473" s="1" t="s">
        <v>0</v>
      </c>
      <c r="J473" s="1">
        <v>144177.13334875001</v>
      </c>
    </row>
    <row r="474" spans="1:10" x14ac:dyDescent="0.35">
      <c r="A474" t="s">
        <v>7</v>
      </c>
      <c r="B474">
        <v>5769</v>
      </c>
      <c r="C474">
        <v>2012</v>
      </c>
      <c r="D474">
        <v>3</v>
      </c>
      <c r="E474" s="1">
        <v>737.20834000000002</v>
      </c>
      <c r="F474" s="1" t="s">
        <v>0</v>
      </c>
      <c r="G474" s="1" t="s">
        <v>0</v>
      </c>
      <c r="H474" s="1" t="s">
        <v>0</v>
      </c>
      <c r="I474" s="1" t="s">
        <v>0</v>
      </c>
      <c r="J474" s="1">
        <v>144901.31179381299</v>
      </c>
    </row>
    <row r="475" spans="1:10" x14ac:dyDescent="0.35">
      <c r="A475" t="s">
        <v>7</v>
      </c>
      <c r="B475">
        <v>5769</v>
      </c>
      <c r="C475">
        <v>2012</v>
      </c>
      <c r="D475">
        <v>4</v>
      </c>
      <c r="E475" s="1">
        <v>720</v>
      </c>
      <c r="F475" s="1" t="s">
        <v>0</v>
      </c>
      <c r="G475" s="1" t="s">
        <v>0</v>
      </c>
      <c r="H475" s="1" t="s">
        <v>0</v>
      </c>
      <c r="I475" s="1" t="s">
        <v>0</v>
      </c>
      <c r="J475" s="1">
        <v>152913.710860625</v>
      </c>
    </row>
    <row r="476" spans="1:10" x14ac:dyDescent="0.35">
      <c r="A476" t="s">
        <v>7</v>
      </c>
      <c r="B476">
        <v>5769</v>
      </c>
      <c r="C476">
        <v>2012</v>
      </c>
      <c r="D476">
        <v>5</v>
      </c>
      <c r="E476" s="1">
        <v>732.33334000000002</v>
      </c>
      <c r="F476" s="1" t="s">
        <v>0</v>
      </c>
      <c r="G476" s="1" t="s">
        <v>0</v>
      </c>
      <c r="H476" s="1" t="s">
        <v>0</v>
      </c>
      <c r="I476" s="1" t="s">
        <v>0</v>
      </c>
      <c r="J476" s="1">
        <v>157759.44759291699</v>
      </c>
    </row>
    <row r="477" spans="1:10" x14ac:dyDescent="0.35">
      <c r="A477" t="s">
        <v>7</v>
      </c>
      <c r="B477">
        <v>5769</v>
      </c>
      <c r="C477">
        <v>2012</v>
      </c>
      <c r="D477">
        <v>6</v>
      </c>
      <c r="E477" s="1">
        <v>710.66666999999995</v>
      </c>
      <c r="F477" s="1" t="s">
        <v>0</v>
      </c>
      <c r="G477" s="1" t="s">
        <v>0</v>
      </c>
      <c r="H477" s="1" t="s">
        <v>0</v>
      </c>
      <c r="I477" s="1" t="s">
        <v>0</v>
      </c>
      <c r="J477" s="1">
        <v>147174.91634791699</v>
      </c>
    </row>
    <row r="478" spans="1:10" x14ac:dyDescent="0.35">
      <c r="A478" t="s">
        <v>7</v>
      </c>
      <c r="B478">
        <v>5769</v>
      </c>
      <c r="C478">
        <v>2012</v>
      </c>
      <c r="D478">
        <v>7</v>
      </c>
      <c r="E478" s="1">
        <v>740.33333000000005</v>
      </c>
      <c r="F478" s="1" t="s">
        <v>0</v>
      </c>
      <c r="G478" s="1" t="s">
        <v>0</v>
      </c>
      <c r="H478" s="1" t="s">
        <v>0</v>
      </c>
      <c r="I478" s="1" t="s">
        <v>0</v>
      </c>
      <c r="J478" s="1">
        <v>155141.689089375</v>
      </c>
    </row>
    <row r="479" spans="1:10" x14ac:dyDescent="0.35">
      <c r="A479" t="s">
        <v>7</v>
      </c>
      <c r="B479">
        <v>5769</v>
      </c>
      <c r="C479">
        <v>2012</v>
      </c>
      <c r="D479">
        <v>8</v>
      </c>
      <c r="E479" s="1">
        <v>309.12499000000003</v>
      </c>
      <c r="F479" s="1" t="s">
        <v>0</v>
      </c>
      <c r="G479" s="1" t="s">
        <v>0</v>
      </c>
      <c r="H479" s="1" t="s">
        <v>0</v>
      </c>
      <c r="I479" s="1" t="s">
        <v>0</v>
      </c>
      <c r="J479" s="1">
        <v>65973.970818958303</v>
      </c>
    </row>
    <row r="480" spans="1:10" x14ac:dyDescent="0.35">
      <c r="A480" t="s">
        <v>7</v>
      </c>
      <c r="B480">
        <v>5769</v>
      </c>
      <c r="C480">
        <v>2012</v>
      </c>
      <c r="D480">
        <v>9</v>
      </c>
      <c r="E480" s="1">
        <v>37.283340000000003</v>
      </c>
      <c r="F480" s="1" t="s">
        <v>0</v>
      </c>
      <c r="G480" s="1" t="s">
        <v>0</v>
      </c>
      <c r="H480" s="1" t="s">
        <v>0</v>
      </c>
      <c r="I480" s="1" t="s">
        <v>0</v>
      </c>
      <c r="J480" s="1">
        <v>8067.4513431249998</v>
      </c>
    </row>
    <row r="481" spans="1:10" x14ac:dyDescent="0.35">
      <c r="A481" t="s">
        <v>7</v>
      </c>
      <c r="B481">
        <v>5769</v>
      </c>
      <c r="C481">
        <v>2012</v>
      </c>
      <c r="D481">
        <v>10</v>
      </c>
      <c r="E481" s="1">
        <v>538.16665999999998</v>
      </c>
      <c r="F481" s="1" t="s">
        <v>0</v>
      </c>
      <c r="G481" s="1" t="s">
        <v>0</v>
      </c>
      <c r="H481" s="1" t="s">
        <v>0</v>
      </c>
      <c r="I481" s="1" t="s">
        <v>0</v>
      </c>
      <c r="J481" s="1">
        <v>118485.32129791701</v>
      </c>
    </row>
    <row r="482" spans="1:10" x14ac:dyDescent="0.35">
      <c r="A482" t="s">
        <v>7</v>
      </c>
      <c r="B482">
        <v>5769</v>
      </c>
      <c r="C482">
        <v>2012</v>
      </c>
      <c r="D482">
        <v>11</v>
      </c>
      <c r="E482" s="1">
        <v>720</v>
      </c>
      <c r="F482" s="1" t="s">
        <v>0</v>
      </c>
      <c r="G482" s="1" t="s">
        <v>0</v>
      </c>
      <c r="H482" s="1" t="s">
        <v>0</v>
      </c>
      <c r="I482" s="1" t="s">
        <v>0</v>
      </c>
      <c r="J482" s="1">
        <v>168629.702521667</v>
      </c>
    </row>
    <row r="483" spans="1:10" x14ac:dyDescent="0.35">
      <c r="A483" t="s">
        <v>7</v>
      </c>
      <c r="B483">
        <v>5769</v>
      </c>
      <c r="C483">
        <v>2012</v>
      </c>
      <c r="D483">
        <v>12</v>
      </c>
      <c r="E483" s="1">
        <v>697.83335</v>
      </c>
      <c r="F483" s="1" t="s">
        <v>0</v>
      </c>
      <c r="G483" s="1" t="s">
        <v>0</v>
      </c>
      <c r="H483" s="1" t="s">
        <v>0</v>
      </c>
      <c r="I483" s="1" t="s">
        <v>0</v>
      </c>
      <c r="J483" s="1">
        <v>154926.22132708301</v>
      </c>
    </row>
    <row r="484" spans="1:10" x14ac:dyDescent="0.35">
      <c r="A484" t="s">
        <v>7</v>
      </c>
      <c r="B484">
        <v>5769</v>
      </c>
      <c r="C484">
        <v>2013</v>
      </c>
      <c r="D484">
        <v>1</v>
      </c>
      <c r="E484" s="1">
        <v>732.25</v>
      </c>
      <c r="F484" s="1" t="s">
        <v>0</v>
      </c>
      <c r="G484" s="1" t="s">
        <v>0</v>
      </c>
      <c r="H484" s="1" t="s">
        <v>0</v>
      </c>
      <c r="I484" s="1" t="s">
        <v>0</v>
      </c>
      <c r="J484" s="1">
        <v>159939.68638887501</v>
      </c>
    </row>
    <row r="485" spans="1:10" x14ac:dyDescent="0.35">
      <c r="A485" t="s">
        <v>7</v>
      </c>
      <c r="B485">
        <v>5769</v>
      </c>
      <c r="C485">
        <v>2013</v>
      </c>
      <c r="D485">
        <v>2</v>
      </c>
      <c r="E485" s="1">
        <v>672</v>
      </c>
      <c r="F485" s="1" t="s">
        <v>0</v>
      </c>
      <c r="G485" s="1" t="s">
        <v>0</v>
      </c>
      <c r="H485" s="1" t="s">
        <v>0</v>
      </c>
      <c r="I485" s="1" t="s">
        <v>0</v>
      </c>
      <c r="J485" s="1">
        <v>147798.46481812501</v>
      </c>
    </row>
    <row r="486" spans="1:10" x14ac:dyDescent="0.35">
      <c r="A486" t="s">
        <v>7</v>
      </c>
      <c r="B486">
        <v>5769</v>
      </c>
      <c r="C486">
        <v>2013</v>
      </c>
      <c r="D486">
        <v>3</v>
      </c>
      <c r="E486" s="1">
        <v>400.46668</v>
      </c>
      <c r="F486" s="1" t="s">
        <v>0</v>
      </c>
      <c r="G486" s="1" t="s">
        <v>0</v>
      </c>
      <c r="H486" s="1" t="s">
        <v>0</v>
      </c>
      <c r="I486" s="1" t="s">
        <v>0</v>
      </c>
      <c r="J486" s="1">
        <v>85998.065148958296</v>
      </c>
    </row>
    <row r="487" spans="1:10" x14ac:dyDescent="0.35">
      <c r="A487" t="s">
        <v>7</v>
      </c>
      <c r="B487">
        <v>5769</v>
      </c>
      <c r="C487">
        <v>2013</v>
      </c>
      <c r="D487">
        <v>4</v>
      </c>
      <c r="E487" s="1">
        <v>561.16831999999999</v>
      </c>
      <c r="F487" s="1" t="s">
        <v>0</v>
      </c>
      <c r="G487" s="1" t="s">
        <v>0</v>
      </c>
      <c r="H487" s="1" t="s">
        <v>0</v>
      </c>
      <c r="I487" s="1" t="s">
        <v>0</v>
      </c>
      <c r="J487" s="1">
        <v>121656.595674375</v>
      </c>
    </row>
    <row r="488" spans="1:10" x14ac:dyDescent="0.35">
      <c r="A488" t="s">
        <v>7</v>
      </c>
      <c r="B488">
        <v>5769</v>
      </c>
      <c r="C488">
        <v>2013</v>
      </c>
      <c r="D488">
        <v>5</v>
      </c>
      <c r="E488" s="1">
        <v>681.3</v>
      </c>
      <c r="F488" s="1" t="s">
        <v>0</v>
      </c>
      <c r="G488" s="1" t="s">
        <v>0</v>
      </c>
      <c r="H488" s="1" t="s">
        <v>0</v>
      </c>
      <c r="I488" s="1" t="s">
        <v>0</v>
      </c>
      <c r="J488" s="1">
        <v>170935.46596812501</v>
      </c>
    </row>
    <row r="489" spans="1:10" x14ac:dyDescent="0.35">
      <c r="A489" t="s">
        <v>7</v>
      </c>
      <c r="B489">
        <v>5769</v>
      </c>
      <c r="C489">
        <v>2013</v>
      </c>
      <c r="D489">
        <v>6</v>
      </c>
      <c r="E489" s="1">
        <v>573.24999000000003</v>
      </c>
      <c r="F489" s="1" t="s">
        <v>0</v>
      </c>
      <c r="G489" s="1" t="s">
        <v>0</v>
      </c>
      <c r="H489" s="1" t="s">
        <v>0</v>
      </c>
      <c r="I489" s="1" t="s">
        <v>0</v>
      </c>
      <c r="J489" s="1">
        <v>138629.205471875</v>
      </c>
    </row>
    <row r="490" spans="1:10" x14ac:dyDescent="0.35">
      <c r="A490" t="s">
        <v>7</v>
      </c>
      <c r="B490">
        <v>5769</v>
      </c>
      <c r="C490">
        <v>2013</v>
      </c>
      <c r="D490">
        <v>7</v>
      </c>
      <c r="E490" s="1">
        <v>654.29166999999995</v>
      </c>
      <c r="F490" s="1" t="s">
        <v>0</v>
      </c>
      <c r="G490" s="1" t="s">
        <v>0</v>
      </c>
      <c r="H490" s="1" t="s">
        <v>0</v>
      </c>
      <c r="I490" s="1" t="s">
        <v>0</v>
      </c>
      <c r="J490" s="1">
        <v>131248.921444167</v>
      </c>
    </row>
    <row r="491" spans="1:10" x14ac:dyDescent="0.35">
      <c r="A491" t="s">
        <v>7</v>
      </c>
      <c r="B491">
        <v>5769</v>
      </c>
      <c r="C491">
        <v>2013</v>
      </c>
      <c r="D491">
        <v>8</v>
      </c>
      <c r="E491" s="1">
        <v>687.05</v>
      </c>
      <c r="F491" s="1" t="s">
        <v>0</v>
      </c>
      <c r="G491" s="1" t="s">
        <v>0</v>
      </c>
      <c r="H491" s="1" t="s">
        <v>0</v>
      </c>
      <c r="I491" s="1" t="s">
        <v>0</v>
      </c>
      <c r="J491" s="1">
        <v>185791.65160104199</v>
      </c>
    </row>
    <row r="492" spans="1:10" x14ac:dyDescent="0.35">
      <c r="A492" t="s">
        <v>7</v>
      </c>
      <c r="B492">
        <v>5769</v>
      </c>
      <c r="C492">
        <v>2013</v>
      </c>
      <c r="D492">
        <v>9</v>
      </c>
      <c r="E492" s="1">
        <v>608.92499999999995</v>
      </c>
      <c r="F492" s="1" t="s">
        <v>0</v>
      </c>
      <c r="G492" s="1" t="s">
        <v>0</v>
      </c>
      <c r="H492" s="1" t="s">
        <v>0</v>
      </c>
      <c r="I492" s="1" t="s">
        <v>0</v>
      </c>
      <c r="J492" s="1">
        <v>141322.974441042</v>
      </c>
    </row>
    <row r="493" spans="1:10" x14ac:dyDescent="0.35">
      <c r="A493" t="s">
        <v>7</v>
      </c>
      <c r="B493">
        <v>5769</v>
      </c>
      <c r="C493">
        <v>2013</v>
      </c>
      <c r="D493">
        <v>10</v>
      </c>
      <c r="E493" s="1">
        <v>654.41668000000004</v>
      </c>
      <c r="F493" s="1" t="s">
        <v>0</v>
      </c>
      <c r="G493" s="1" t="s">
        <v>0</v>
      </c>
      <c r="H493" s="1" t="s">
        <v>0</v>
      </c>
      <c r="I493" s="1" t="s">
        <v>0</v>
      </c>
      <c r="J493" s="1">
        <v>167622.051632708</v>
      </c>
    </row>
    <row r="494" spans="1:10" x14ac:dyDescent="0.35">
      <c r="A494" t="s">
        <v>7</v>
      </c>
      <c r="B494">
        <v>5769</v>
      </c>
      <c r="C494">
        <v>2013</v>
      </c>
      <c r="D494">
        <v>11</v>
      </c>
      <c r="E494" s="1">
        <v>681.66666999999995</v>
      </c>
      <c r="F494" s="1" t="s">
        <v>0</v>
      </c>
      <c r="G494" s="1" t="s">
        <v>0</v>
      </c>
      <c r="H494" s="1" t="s">
        <v>0</v>
      </c>
      <c r="I494" s="1" t="s">
        <v>0</v>
      </c>
      <c r="J494" s="1">
        <v>167983.460903542</v>
      </c>
    </row>
    <row r="495" spans="1:10" x14ac:dyDescent="0.35">
      <c r="A495" t="s">
        <v>7</v>
      </c>
      <c r="B495">
        <v>5769</v>
      </c>
      <c r="C495">
        <v>2013</v>
      </c>
      <c r="D495">
        <v>12</v>
      </c>
      <c r="E495" s="1">
        <v>676.25</v>
      </c>
      <c r="F495" s="1" t="s">
        <v>0</v>
      </c>
      <c r="G495" s="1" t="s">
        <v>0</v>
      </c>
      <c r="H495" s="1" t="s">
        <v>0</v>
      </c>
      <c r="I495" s="1" t="s">
        <v>0</v>
      </c>
      <c r="J495" s="1">
        <v>169674.00544562499</v>
      </c>
    </row>
    <row r="496" spans="1:10" x14ac:dyDescent="0.35">
      <c r="A496" t="s">
        <v>7</v>
      </c>
      <c r="B496">
        <v>5769</v>
      </c>
      <c r="C496">
        <v>2014</v>
      </c>
      <c r="D496">
        <v>1</v>
      </c>
      <c r="E496" s="1">
        <v>661.16666999999995</v>
      </c>
      <c r="F496" s="1" t="s">
        <v>0</v>
      </c>
      <c r="G496" s="1" t="s">
        <v>0</v>
      </c>
      <c r="H496" s="1" t="s">
        <v>0</v>
      </c>
      <c r="I496" s="1" t="s">
        <v>0</v>
      </c>
      <c r="J496" s="1">
        <v>139161.96420812499</v>
      </c>
    </row>
    <row r="497" spans="1:10" x14ac:dyDescent="0.35">
      <c r="A497" t="s">
        <v>7</v>
      </c>
      <c r="B497">
        <v>5769</v>
      </c>
      <c r="C497">
        <v>2014</v>
      </c>
      <c r="D497">
        <v>2</v>
      </c>
      <c r="E497" s="1">
        <v>580.60833000000002</v>
      </c>
      <c r="F497" s="1" t="s">
        <v>0</v>
      </c>
      <c r="G497" s="1" t="s">
        <v>0</v>
      </c>
      <c r="H497" s="1" t="s">
        <v>0</v>
      </c>
      <c r="I497" s="1" t="s">
        <v>0</v>
      </c>
      <c r="J497" s="1">
        <v>139875.10921729199</v>
      </c>
    </row>
    <row r="498" spans="1:10" x14ac:dyDescent="0.35">
      <c r="A498" t="s">
        <v>7</v>
      </c>
      <c r="B498">
        <v>5769</v>
      </c>
      <c r="C498">
        <v>2014</v>
      </c>
      <c r="D498">
        <v>3</v>
      </c>
      <c r="E498" s="1">
        <v>691.41666999999995</v>
      </c>
      <c r="F498" s="1" t="s">
        <v>0</v>
      </c>
      <c r="G498" s="1" t="s">
        <v>0</v>
      </c>
      <c r="H498" s="1" t="s">
        <v>0</v>
      </c>
      <c r="I498" s="1" t="s">
        <v>0</v>
      </c>
      <c r="J498" s="1">
        <v>168354.400344828</v>
      </c>
    </row>
    <row r="499" spans="1:10" x14ac:dyDescent="0.35">
      <c r="A499" t="s">
        <v>7</v>
      </c>
      <c r="B499">
        <v>5769</v>
      </c>
      <c r="C499">
        <v>2014</v>
      </c>
      <c r="D499">
        <v>4</v>
      </c>
      <c r="E499" s="1">
        <v>707.54166999999995</v>
      </c>
      <c r="F499" s="1" t="s">
        <v>0</v>
      </c>
      <c r="G499" s="1" t="s">
        <v>0</v>
      </c>
      <c r="H499" s="1" t="s">
        <v>0</v>
      </c>
      <c r="I499" s="1" t="s">
        <v>0</v>
      </c>
      <c r="J499" s="1">
        <v>170365.94510833299</v>
      </c>
    </row>
    <row r="500" spans="1:10" x14ac:dyDescent="0.35">
      <c r="A500" t="s">
        <v>7</v>
      </c>
      <c r="B500">
        <v>5769</v>
      </c>
      <c r="C500">
        <v>2014</v>
      </c>
      <c r="D500">
        <v>5</v>
      </c>
      <c r="E500" s="1">
        <v>606.33334000000002</v>
      </c>
      <c r="F500" s="1" t="s">
        <v>0</v>
      </c>
      <c r="G500" s="1" t="s">
        <v>0</v>
      </c>
      <c r="H500" s="1" t="s">
        <v>0</v>
      </c>
      <c r="I500" s="1" t="s">
        <v>0</v>
      </c>
      <c r="J500" s="1">
        <v>155443.53009770799</v>
      </c>
    </row>
    <row r="501" spans="1:10" x14ac:dyDescent="0.35">
      <c r="A501" t="s">
        <v>7</v>
      </c>
      <c r="B501">
        <v>5769</v>
      </c>
      <c r="C501">
        <v>2014</v>
      </c>
      <c r="D501">
        <v>6</v>
      </c>
      <c r="E501" s="1">
        <v>699.08333000000005</v>
      </c>
      <c r="F501" s="1" t="s">
        <v>0</v>
      </c>
      <c r="G501" s="1" t="s">
        <v>0</v>
      </c>
      <c r="H501" s="1" t="s">
        <v>0</v>
      </c>
      <c r="I501" s="1" t="s">
        <v>0</v>
      </c>
      <c r="J501" s="1">
        <v>170548.08144937499</v>
      </c>
    </row>
    <row r="502" spans="1:10" x14ac:dyDescent="0.35">
      <c r="A502" t="s">
        <v>7</v>
      </c>
      <c r="B502">
        <v>5769</v>
      </c>
      <c r="C502">
        <v>2014</v>
      </c>
      <c r="D502">
        <v>7</v>
      </c>
      <c r="E502" s="1">
        <v>742.33334000000002</v>
      </c>
      <c r="F502" s="1" t="s">
        <v>0</v>
      </c>
      <c r="G502" s="1" t="s">
        <v>0</v>
      </c>
      <c r="H502" s="1" t="s">
        <v>0</v>
      </c>
      <c r="I502" s="1" t="s">
        <v>0</v>
      </c>
      <c r="J502" s="1">
        <v>149633.537327292</v>
      </c>
    </row>
    <row r="503" spans="1:10" x14ac:dyDescent="0.35">
      <c r="A503" t="s">
        <v>7</v>
      </c>
      <c r="B503">
        <v>5769</v>
      </c>
      <c r="C503">
        <v>2014</v>
      </c>
      <c r="D503">
        <v>8</v>
      </c>
      <c r="E503" s="1">
        <v>606.37963999999999</v>
      </c>
      <c r="F503" s="1" t="s">
        <v>0</v>
      </c>
      <c r="G503" s="1" t="s">
        <v>0</v>
      </c>
      <c r="H503" s="1" t="s">
        <v>0</v>
      </c>
      <c r="I503" s="1" t="s">
        <v>0</v>
      </c>
      <c r="J503" s="1">
        <v>122109.851845</v>
      </c>
    </row>
    <row r="504" spans="1:10" x14ac:dyDescent="0.35">
      <c r="A504" t="s">
        <v>7</v>
      </c>
      <c r="B504">
        <v>5769</v>
      </c>
      <c r="C504">
        <v>2014</v>
      </c>
      <c r="D504">
        <v>9</v>
      </c>
      <c r="E504" s="1">
        <v>691.49999000000003</v>
      </c>
      <c r="F504" s="1" t="s">
        <v>0</v>
      </c>
      <c r="G504" s="1" t="s">
        <v>0</v>
      </c>
      <c r="H504" s="1" t="s">
        <v>0</v>
      </c>
      <c r="I504" s="1" t="s">
        <v>0</v>
      </c>
      <c r="J504" s="1">
        <v>160662.468334167</v>
      </c>
    </row>
    <row r="505" spans="1:10" x14ac:dyDescent="0.35">
      <c r="A505" t="s">
        <v>7</v>
      </c>
      <c r="B505">
        <v>5769</v>
      </c>
      <c r="C505">
        <v>2014</v>
      </c>
      <c r="D505">
        <v>10</v>
      </c>
      <c r="E505" s="1">
        <v>741.83334000000002</v>
      </c>
      <c r="F505" s="1" t="s">
        <v>0</v>
      </c>
      <c r="G505" s="1" t="s">
        <v>0</v>
      </c>
      <c r="H505" s="1" t="s">
        <v>0</v>
      </c>
      <c r="I505" s="1" t="s">
        <v>0</v>
      </c>
      <c r="J505" s="1">
        <v>166833.31391160801</v>
      </c>
    </row>
    <row r="506" spans="1:10" x14ac:dyDescent="0.35">
      <c r="A506" t="s">
        <v>7</v>
      </c>
      <c r="B506">
        <v>5769</v>
      </c>
      <c r="C506">
        <v>2014</v>
      </c>
      <c r="D506">
        <v>11</v>
      </c>
      <c r="E506" s="1">
        <v>660.55832999999996</v>
      </c>
      <c r="F506" s="1" t="s">
        <v>0</v>
      </c>
      <c r="G506" s="1" t="s">
        <v>0</v>
      </c>
      <c r="H506" s="1" t="s">
        <v>0</v>
      </c>
      <c r="I506" s="1" t="s">
        <v>0</v>
      </c>
      <c r="J506" s="1">
        <v>146406.90984041701</v>
      </c>
    </row>
    <row r="507" spans="1:10" x14ac:dyDescent="0.35">
      <c r="A507" t="s">
        <v>7</v>
      </c>
      <c r="B507">
        <v>5769</v>
      </c>
      <c r="C507">
        <v>2014</v>
      </c>
      <c r="D507">
        <v>12</v>
      </c>
      <c r="E507" s="1">
        <v>394.32499999999999</v>
      </c>
      <c r="F507" s="1" t="s">
        <v>0</v>
      </c>
      <c r="G507" s="1" t="s">
        <v>0</v>
      </c>
      <c r="H507" s="1" t="s">
        <v>0</v>
      </c>
      <c r="I507" s="1" t="s">
        <v>0</v>
      </c>
      <c r="J507" s="1">
        <v>95714.366779166696</v>
      </c>
    </row>
    <row r="508" spans="1:10" x14ac:dyDescent="0.35">
      <c r="A508" t="s">
        <v>7</v>
      </c>
      <c r="B508">
        <v>5769</v>
      </c>
      <c r="C508">
        <v>2015</v>
      </c>
      <c r="D508">
        <v>1</v>
      </c>
      <c r="E508" s="1">
        <v>702.63333999999998</v>
      </c>
      <c r="F508" s="1" t="s">
        <v>0</v>
      </c>
      <c r="G508" s="1" t="s">
        <v>0</v>
      </c>
      <c r="H508" s="1" t="s">
        <v>0</v>
      </c>
      <c r="I508" s="1" t="s">
        <v>0</v>
      </c>
      <c r="J508" s="1">
        <v>116851.662329792</v>
      </c>
    </row>
    <row r="509" spans="1:10" x14ac:dyDescent="0.35">
      <c r="A509" t="s">
        <v>7</v>
      </c>
      <c r="B509">
        <v>5769</v>
      </c>
      <c r="C509">
        <v>2015</v>
      </c>
      <c r="D509">
        <v>2</v>
      </c>
      <c r="E509" s="1">
        <v>583.88333</v>
      </c>
      <c r="F509" s="1" t="s">
        <v>0</v>
      </c>
      <c r="G509" s="1" t="s">
        <v>0</v>
      </c>
      <c r="H509" s="1" t="s">
        <v>0</v>
      </c>
      <c r="I509" s="1" t="s">
        <v>0</v>
      </c>
      <c r="J509" s="1">
        <v>122957.754829792</v>
      </c>
    </row>
    <row r="510" spans="1:10" x14ac:dyDescent="0.35">
      <c r="A510" t="s">
        <v>7</v>
      </c>
      <c r="B510">
        <v>5769</v>
      </c>
      <c r="C510">
        <v>2015</v>
      </c>
      <c r="D510">
        <v>3</v>
      </c>
      <c r="E510" s="1">
        <v>744</v>
      </c>
      <c r="F510" s="1" t="s">
        <v>0</v>
      </c>
      <c r="G510" s="1" t="s">
        <v>0</v>
      </c>
      <c r="H510" s="1" t="s">
        <v>0</v>
      </c>
      <c r="I510" s="1" t="s">
        <v>0</v>
      </c>
      <c r="J510" s="1">
        <v>127803.68713271699</v>
      </c>
    </row>
    <row r="511" spans="1:10" x14ac:dyDescent="0.35">
      <c r="A511" t="s">
        <v>7</v>
      </c>
      <c r="B511">
        <v>5769</v>
      </c>
      <c r="C511">
        <v>2015</v>
      </c>
      <c r="D511">
        <v>4</v>
      </c>
      <c r="E511" s="1">
        <v>707.66666999999995</v>
      </c>
      <c r="F511" s="1" t="s">
        <v>0</v>
      </c>
      <c r="G511" s="1" t="s">
        <v>0</v>
      </c>
      <c r="H511" s="1" t="s">
        <v>0</v>
      </c>
      <c r="I511" s="1" t="s">
        <v>0</v>
      </c>
      <c r="J511" s="1">
        <v>146997.138336042</v>
      </c>
    </row>
    <row r="512" spans="1:10" x14ac:dyDescent="0.35">
      <c r="A512" t="s">
        <v>7</v>
      </c>
      <c r="B512">
        <v>5769</v>
      </c>
      <c r="C512">
        <v>2015</v>
      </c>
      <c r="D512">
        <v>5</v>
      </c>
      <c r="E512" s="1">
        <v>744</v>
      </c>
      <c r="F512" s="1" t="s">
        <v>0</v>
      </c>
      <c r="G512" s="1" t="s">
        <v>0</v>
      </c>
      <c r="H512" s="1" t="s">
        <v>0</v>
      </c>
      <c r="I512" s="1" t="s">
        <v>0</v>
      </c>
      <c r="J512" s="1">
        <v>135253.88426374999</v>
      </c>
    </row>
    <row r="513" spans="1:10" x14ac:dyDescent="0.35">
      <c r="A513" t="s">
        <v>7</v>
      </c>
      <c r="B513">
        <v>5769</v>
      </c>
      <c r="C513">
        <v>2015</v>
      </c>
      <c r="D513">
        <v>6</v>
      </c>
      <c r="E513" s="1">
        <v>717.45</v>
      </c>
      <c r="F513" s="1" t="s">
        <v>0</v>
      </c>
      <c r="G513" s="1" t="s">
        <v>0</v>
      </c>
      <c r="H513" s="1" t="s">
        <v>0</v>
      </c>
      <c r="I513" s="1" t="s">
        <v>0</v>
      </c>
      <c r="J513" s="1">
        <v>146025.80091291701</v>
      </c>
    </row>
    <row r="514" spans="1:10" x14ac:dyDescent="0.35">
      <c r="A514" t="s">
        <v>7</v>
      </c>
      <c r="B514">
        <v>5769</v>
      </c>
      <c r="C514">
        <v>2015</v>
      </c>
      <c r="D514">
        <v>7</v>
      </c>
      <c r="E514" s="1">
        <v>739.67499999999995</v>
      </c>
      <c r="F514" s="1" t="s">
        <v>0</v>
      </c>
      <c r="G514" s="1" t="s">
        <v>0</v>
      </c>
      <c r="H514" s="1" t="s">
        <v>0</v>
      </c>
      <c r="I514" s="1" t="s">
        <v>0</v>
      </c>
      <c r="J514" s="1">
        <v>117659.770350208</v>
      </c>
    </row>
    <row r="515" spans="1:10" x14ac:dyDescent="0.35">
      <c r="A515" t="s">
        <v>7</v>
      </c>
      <c r="B515">
        <v>5769</v>
      </c>
      <c r="C515">
        <v>2015</v>
      </c>
      <c r="D515">
        <v>8</v>
      </c>
      <c r="E515" s="1">
        <v>606.19971999999996</v>
      </c>
      <c r="F515" s="1" t="s">
        <v>0</v>
      </c>
      <c r="G515" s="1" t="s">
        <v>0</v>
      </c>
      <c r="H515" s="1" t="s">
        <v>0</v>
      </c>
      <c r="I515" s="1" t="s">
        <v>0</v>
      </c>
      <c r="J515" s="1">
        <v>113141.00622416699</v>
      </c>
    </row>
    <row r="516" spans="1:10" x14ac:dyDescent="0.35">
      <c r="A516" t="s">
        <v>7</v>
      </c>
      <c r="B516">
        <v>5769</v>
      </c>
      <c r="C516">
        <v>2015</v>
      </c>
      <c r="D516">
        <v>9</v>
      </c>
      <c r="E516" s="1">
        <v>711.73375999999996</v>
      </c>
      <c r="F516" s="1" t="s">
        <v>0</v>
      </c>
      <c r="G516" s="1" t="s">
        <v>0</v>
      </c>
      <c r="H516" s="1" t="s">
        <v>0</v>
      </c>
      <c r="I516" s="1" t="s">
        <v>0</v>
      </c>
      <c r="J516" s="1">
        <v>128260.871127292</v>
      </c>
    </row>
    <row r="517" spans="1:10" x14ac:dyDescent="0.35">
      <c r="A517" t="s">
        <v>7</v>
      </c>
      <c r="B517">
        <v>5769</v>
      </c>
      <c r="C517">
        <v>2015</v>
      </c>
      <c r="D517">
        <v>10</v>
      </c>
      <c r="E517" s="1">
        <v>724.40764000000001</v>
      </c>
      <c r="F517" s="1" t="s">
        <v>0</v>
      </c>
      <c r="G517" s="1" t="s">
        <v>0</v>
      </c>
      <c r="H517" s="1" t="s">
        <v>0</v>
      </c>
      <c r="I517" s="1" t="s">
        <v>0</v>
      </c>
      <c r="J517" s="1">
        <v>134374.87116976699</v>
      </c>
    </row>
    <row r="518" spans="1:10" x14ac:dyDescent="0.35">
      <c r="A518" t="s">
        <v>7</v>
      </c>
      <c r="B518">
        <v>5769</v>
      </c>
      <c r="C518">
        <v>2015</v>
      </c>
      <c r="D518">
        <v>11</v>
      </c>
      <c r="E518" s="1">
        <v>642.93334000000004</v>
      </c>
      <c r="F518" s="1" t="s">
        <v>0</v>
      </c>
      <c r="G518" s="1" t="s">
        <v>0</v>
      </c>
      <c r="H518" s="1" t="s">
        <v>0</v>
      </c>
      <c r="I518" s="1" t="s">
        <v>0</v>
      </c>
      <c r="J518" s="1">
        <v>134602.94090354201</v>
      </c>
    </row>
    <row r="519" spans="1:10" x14ac:dyDescent="0.35">
      <c r="A519" t="s">
        <v>7</v>
      </c>
      <c r="B519">
        <v>5769</v>
      </c>
      <c r="C519">
        <v>2015</v>
      </c>
      <c r="D519">
        <v>12</v>
      </c>
      <c r="E519" s="1">
        <v>739.24999000000003</v>
      </c>
      <c r="F519" s="1" t="s">
        <v>0</v>
      </c>
      <c r="G519" s="1" t="s">
        <v>0</v>
      </c>
      <c r="H519" s="1" t="s">
        <v>0</v>
      </c>
      <c r="I519" s="1" t="s">
        <v>0</v>
      </c>
      <c r="J519" s="1">
        <v>145383.33062729199</v>
      </c>
    </row>
    <row r="520" spans="1:10" x14ac:dyDescent="0.35">
      <c r="A520" t="s">
        <v>7</v>
      </c>
      <c r="B520">
        <v>5769</v>
      </c>
      <c r="C520">
        <v>2016</v>
      </c>
      <c r="D520">
        <v>1</v>
      </c>
      <c r="E520" s="1">
        <v>721.41665999999998</v>
      </c>
      <c r="F520" s="1" t="s">
        <v>0</v>
      </c>
      <c r="G520" s="1" t="s">
        <v>0</v>
      </c>
      <c r="H520" s="1" t="s">
        <v>0</v>
      </c>
      <c r="I520" s="1" t="s">
        <v>0</v>
      </c>
      <c r="J520" s="1">
        <v>148394.55609979201</v>
      </c>
    </row>
    <row r="521" spans="1:10" x14ac:dyDescent="0.35">
      <c r="A521" t="s">
        <v>7</v>
      </c>
      <c r="B521">
        <v>5769</v>
      </c>
      <c r="C521">
        <v>2016</v>
      </c>
      <c r="D521">
        <v>2</v>
      </c>
      <c r="E521" s="1">
        <v>691.25001999999995</v>
      </c>
      <c r="F521" s="1" t="s">
        <v>0</v>
      </c>
      <c r="G521" s="1" t="s">
        <v>0</v>
      </c>
      <c r="H521" s="1" t="s">
        <v>0</v>
      </c>
      <c r="I521" s="1" t="s">
        <v>0</v>
      </c>
      <c r="J521" s="1">
        <v>164188.59713937499</v>
      </c>
    </row>
    <row r="522" spans="1:10" x14ac:dyDescent="0.35">
      <c r="A522" t="s">
        <v>7</v>
      </c>
      <c r="B522">
        <v>5769</v>
      </c>
      <c r="C522">
        <v>2016</v>
      </c>
      <c r="D522">
        <v>3</v>
      </c>
      <c r="E522" s="1">
        <v>743</v>
      </c>
      <c r="F522" s="1" t="s">
        <v>0</v>
      </c>
      <c r="G522" s="1" t="s">
        <v>0</v>
      </c>
      <c r="H522" s="1" t="s">
        <v>0</v>
      </c>
      <c r="I522" s="1" t="s">
        <v>0</v>
      </c>
      <c r="J522" s="1">
        <v>139810.59127062501</v>
      </c>
    </row>
    <row r="523" spans="1:10" x14ac:dyDescent="0.35">
      <c r="A523" t="s">
        <v>7</v>
      </c>
      <c r="B523">
        <v>5769</v>
      </c>
      <c r="C523">
        <v>2016</v>
      </c>
      <c r="D523">
        <v>4</v>
      </c>
      <c r="E523" s="1">
        <v>345.41667999999999</v>
      </c>
      <c r="F523" s="1">
        <v>3400.61</v>
      </c>
      <c r="G523" s="1">
        <v>538638.56000000006</v>
      </c>
      <c r="H523" s="1">
        <v>2380.7800000000002</v>
      </c>
      <c r="I523" s="1" t="s">
        <v>0</v>
      </c>
      <c r="J523" s="1">
        <v>20226.958790000001</v>
      </c>
    </row>
    <row r="524" spans="1:10" x14ac:dyDescent="0.35">
      <c r="A524" t="s">
        <v>7</v>
      </c>
      <c r="B524">
        <v>5769</v>
      </c>
      <c r="C524">
        <v>2016</v>
      </c>
      <c r="D524">
        <v>5</v>
      </c>
      <c r="E524" s="1">
        <v>732</v>
      </c>
      <c r="F524" s="1">
        <v>9724.4</v>
      </c>
      <c r="G524" s="1">
        <v>1534677.16</v>
      </c>
      <c r="H524" s="1">
        <v>3949.9</v>
      </c>
      <c r="I524" s="1" t="s">
        <v>0</v>
      </c>
      <c r="J524" s="1">
        <v>0</v>
      </c>
    </row>
    <row r="525" spans="1:10" x14ac:dyDescent="0.35">
      <c r="A525" t="s">
        <v>7</v>
      </c>
      <c r="B525">
        <v>5769</v>
      </c>
      <c r="C525">
        <v>2016</v>
      </c>
      <c r="D525">
        <v>6</v>
      </c>
      <c r="E525" s="1">
        <v>718.41666999999995</v>
      </c>
      <c r="F525" s="1">
        <v>9121.48</v>
      </c>
      <c r="G525" s="1">
        <v>1468557.12</v>
      </c>
      <c r="H525" s="1">
        <v>2376.9299999999998</v>
      </c>
      <c r="I525" s="1" t="s">
        <v>0</v>
      </c>
      <c r="J525" s="1" t="s">
        <v>0</v>
      </c>
    </row>
    <row r="526" spans="1:10" x14ac:dyDescent="0.35">
      <c r="A526" t="s">
        <v>7</v>
      </c>
      <c r="B526">
        <v>5769</v>
      </c>
      <c r="C526">
        <v>2016</v>
      </c>
      <c r="D526">
        <v>7</v>
      </c>
      <c r="E526" s="1">
        <v>668.64167999999995</v>
      </c>
      <c r="F526" s="1">
        <v>9985.2900000000009</v>
      </c>
      <c r="G526" s="1">
        <v>1602674.39</v>
      </c>
      <c r="H526" s="1">
        <v>2453.71</v>
      </c>
      <c r="I526" s="1" t="s">
        <v>0</v>
      </c>
      <c r="J526" s="1">
        <v>0</v>
      </c>
    </row>
    <row r="527" spans="1:10" x14ac:dyDescent="0.35">
      <c r="A527" t="s">
        <v>7</v>
      </c>
      <c r="B527">
        <v>5769</v>
      </c>
      <c r="C527">
        <v>2016</v>
      </c>
      <c r="D527">
        <v>8</v>
      </c>
      <c r="E527" s="1">
        <v>608.42499999999995</v>
      </c>
      <c r="F527" s="1">
        <v>8928.9</v>
      </c>
      <c r="G527" s="1">
        <v>1417278.51</v>
      </c>
      <c r="H527" s="1">
        <v>2371.86</v>
      </c>
      <c r="I527" s="1" t="s">
        <v>0</v>
      </c>
      <c r="J527" s="1">
        <v>0</v>
      </c>
    </row>
    <row r="528" spans="1:10" x14ac:dyDescent="0.35">
      <c r="A528" t="s">
        <v>7</v>
      </c>
      <c r="B528">
        <v>5769</v>
      </c>
      <c r="C528">
        <v>2016</v>
      </c>
      <c r="D528">
        <v>9</v>
      </c>
      <c r="E528" s="1">
        <v>0</v>
      </c>
      <c r="F528" s="1">
        <v>0</v>
      </c>
      <c r="G528" s="1">
        <v>0</v>
      </c>
      <c r="H528" s="1">
        <v>0</v>
      </c>
      <c r="I528" s="1" t="s">
        <v>0</v>
      </c>
      <c r="J528" s="1"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3416B-415E-4B99-8584-107F45065943}">
  <dimension ref="A1:B8"/>
  <sheetViews>
    <sheetView workbookViewId="0">
      <selection activeCell="H27" sqref="H27"/>
    </sheetView>
  </sheetViews>
  <sheetFormatPr defaultRowHeight="12.75" x14ac:dyDescent="0.35"/>
  <cols>
    <col min="1" max="1" width="13.06640625" bestFit="1" customWidth="1"/>
  </cols>
  <sheetData>
    <row r="1" spans="1:2" x14ac:dyDescent="0.35">
      <c r="A1" t="s">
        <v>8</v>
      </c>
      <c r="B1" t="s">
        <v>20</v>
      </c>
    </row>
    <row r="2" spans="1:2" x14ac:dyDescent="0.35">
      <c r="A2" t="s">
        <v>1</v>
      </c>
      <c r="B2" t="s">
        <v>21</v>
      </c>
    </row>
    <row r="3" spans="1:2" x14ac:dyDescent="0.35">
      <c r="A3" t="s">
        <v>23</v>
      </c>
      <c r="B3" t="s">
        <v>21</v>
      </c>
    </row>
    <row r="4" spans="1:2" x14ac:dyDescent="0.35">
      <c r="A4" t="s">
        <v>24</v>
      </c>
      <c r="B4" t="s">
        <v>21</v>
      </c>
    </row>
    <row r="5" spans="1:2" x14ac:dyDescent="0.35">
      <c r="A5" t="s">
        <v>25</v>
      </c>
      <c r="B5" t="s">
        <v>21</v>
      </c>
    </row>
    <row r="6" spans="1:2" x14ac:dyDescent="0.35">
      <c r="A6" t="s">
        <v>5</v>
      </c>
      <c r="B6" t="s">
        <v>21</v>
      </c>
    </row>
    <row r="7" spans="1:2" x14ac:dyDescent="0.35">
      <c r="A7" t="s">
        <v>26</v>
      </c>
      <c r="B7" t="s">
        <v>22</v>
      </c>
    </row>
    <row r="8" spans="1:2" x14ac:dyDescent="0.35">
      <c r="A8" t="s">
        <v>27</v>
      </c>
      <c r="B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Dashboards</vt:lpstr>
      <vt:lpstr>Well Summary</vt:lpstr>
      <vt:lpstr>Clean Monthly Production Data </vt:lpstr>
      <vt:lpstr>Monthly Pivot</vt:lpstr>
      <vt:lpstr>Raw Monthly Production Data</vt:lpstr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Fosse</dc:creator>
  <cp:lastModifiedBy>linda zamba</cp:lastModifiedBy>
  <dcterms:created xsi:type="dcterms:W3CDTF">2018-04-16T10:21:30Z</dcterms:created>
  <dcterms:modified xsi:type="dcterms:W3CDTF">2026-07-09T15:43:34Z</dcterms:modified>
</cp:coreProperties>
</file>